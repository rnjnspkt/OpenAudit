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s2672\Desktop\AI Open\workbook\"/>
    </mc:Choice>
  </mc:AlternateContent>
  <xr:revisionPtr revIDLastSave="0" documentId="13_ncr:1_{B4014F43-F9D9-45FF-8392-D3FFB9F7B26A}" xr6:coauthVersionLast="47" xr6:coauthVersionMax="47" xr10:uidLastSave="{00000000-0000-0000-0000-000000000000}"/>
  <bookViews>
    <workbookView xWindow="44880" yWindow="-120" windowWidth="29040" windowHeight="15720" xr2:uid="{00000000-000D-0000-FFFF-FFFF00000000}"/>
  </bookViews>
  <sheets>
    <sheet name="READ ME" sheetId="1" r:id="rId1"/>
    <sheet name="Model Inventory" sheetId="2" r:id="rId2"/>
    <sheet name="Audit Data" sheetId="3" r:id="rId3"/>
    <sheet name="Audit Log" sheetId="4" r:id="rId4"/>
    <sheet name="Chart Data" sheetId="5" r:id="rId5"/>
    <sheet name="Distribution Dat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2" i="3" l="1"/>
  <c r="R122" i="3"/>
  <c r="L122" i="3"/>
  <c r="S121" i="3"/>
  <c r="R121" i="3"/>
  <c r="L121" i="3"/>
  <c r="S120" i="3"/>
  <c r="R120" i="3"/>
  <c r="L120" i="3"/>
  <c r="S119" i="3"/>
  <c r="R119" i="3"/>
  <c r="L119" i="3"/>
  <c r="S118" i="3"/>
  <c r="R118" i="3"/>
  <c r="L118" i="3"/>
  <c r="S117" i="3"/>
  <c r="R117" i="3"/>
  <c r="L117" i="3"/>
  <c r="S116" i="3"/>
  <c r="R116" i="3"/>
  <c r="L116" i="3"/>
  <c r="S115" i="3"/>
  <c r="R115" i="3"/>
  <c r="L115" i="3"/>
  <c r="S114" i="3"/>
  <c r="R114" i="3"/>
  <c r="L114" i="3"/>
  <c r="S113" i="3"/>
  <c r="R113" i="3"/>
  <c r="L113" i="3"/>
  <c r="S112" i="3"/>
  <c r="R112" i="3"/>
  <c r="L112" i="3"/>
  <c r="S111" i="3"/>
  <c r="R111" i="3"/>
  <c r="L111" i="3"/>
  <c r="S110" i="3"/>
  <c r="R110" i="3"/>
  <c r="L110" i="3"/>
  <c r="S109" i="3"/>
  <c r="R109" i="3"/>
  <c r="L109" i="3"/>
  <c r="S108" i="3"/>
  <c r="R108" i="3"/>
  <c r="L108" i="3"/>
  <c r="S107" i="3"/>
  <c r="R107" i="3"/>
  <c r="L107" i="3"/>
  <c r="S106" i="3"/>
  <c r="R106" i="3"/>
  <c r="L106" i="3"/>
  <c r="S105" i="3"/>
  <c r="R105" i="3"/>
  <c r="L105" i="3"/>
  <c r="S104" i="3"/>
  <c r="R104" i="3"/>
  <c r="L104" i="3"/>
  <c r="S103" i="3"/>
  <c r="R103" i="3"/>
  <c r="L103" i="3"/>
  <c r="S102" i="3"/>
  <c r="R102" i="3"/>
  <c r="L102" i="3"/>
  <c r="S101" i="3"/>
  <c r="R101" i="3"/>
  <c r="L101" i="3"/>
  <c r="S100" i="3"/>
  <c r="R100" i="3"/>
  <c r="L100" i="3"/>
  <c r="S99" i="3"/>
  <c r="R99" i="3"/>
  <c r="L99" i="3"/>
  <c r="S98" i="3"/>
  <c r="R98" i="3"/>
  <c r="L98" i="3"/>
  <c r="S97" i="3"/>
  <c r="R97" i="3"/>
  <c r="L97" i="3"/>
  <c r="S96" i="3"/>
  <c r="R96" i="3"/>
  <c r="L96" i="3"/>
  <c r="S95" i="3"/>
  <c r="R95" i="3"/>
  <c r="L95" i="3"/>
  <c r="S94" i="3"/>
  <c r="R94" i="3"/>
  <c r="L94" i="3"/>
  <c r="S93" i="3"/>
  <c r="R93" i="3"/>
  <c r="L93" i="3"/>
  <c r="S92" i="3"/>
  <c r="R92" i="3"/>
  <c r="L92" i="3"/>
  <c r="S91" i="3"/>
  <c r="R91" i="3"/>
  <c r="L91" i="3"/>
  <c r="S90" i="3"/>
  <c r="R90" i="3"/>
  <c r="L90" i="3"/>
  <c r="S89" i="3"/>
  <c r="R89" i="3"/>
  <c r="L89" i="3"/>
  <c r="S88" i="3"/>
  <c r="R88" i="3"/>
  <c r="L88" i="3"/>
  <c r="S87" i="3"/>
  <c r="R87" i="3"/>
  <c r="L87" i="3"/>
  <c r="S86" i="3"/>
  <c r="R86" i="3"/>
  <c r="L86" i="3"/>
  <c r="S85" i="3"/>
  <c r="R85" i="3"/>
  <c r="L85" i="3"/>
  <c r="S84" i="3"/>
  <c r="R84" i="3"/>
  <c r="L84" i="3"/>
  <c r="S83" i="3"/>
  <c r="R83" i="3"/>
  <c r="L83" i="3"/>
  <c r="S82" i="3"/>
  <c r="R82" i="3"/>
  <c r="L82" i="3"/>
  <c r="S81" i="3"/>
  <c r="R81" i="3"/>
  <c r="L81" i="3"/>
  <c r="S80" i="3"/>
  <c r="R80" i="3"/>
  <c r="L80" i="3"/>
  <c r="S79" i="3"/>
  <c r="R79" i="3"/>
  <c r="L79" i="3"/>
  <c r="S78" i="3"/>
  <c r="R78" i="3"/>
  <c r="L78" i="3"/>
  <c r="S77" i="3"/>
  <c r="R77" i="3"/>
  <c r="L77" i="3"/>
  <c r="S76" i="3"/>
  <c r="R76" i="3"/>
  <c r="L76" i="3"/>
  <c r="S75" i="3"/>
  <c r="R75" i="3"/>
  <c r="L75" i="3"/>
  <c r="R74" i="3"/>
  <c r="R73" i="3"/>
  <c r="R72" i="3"/>
  <c r="R71" i="3"/>
  <c r="R70" i="3"/>
  <c r="R69" i="3"/>
  <c r="R68" i="3"/>
  <c r="R67" i="3"/>
  <c r="S66" i="3"/>
  <c r="R66" i="3"/>
  <c r="L66" i="3"/>
  <c r="S65" i="3"/>
  <c r="R65" i="3"/>
  <c r="L65" i="3"/>
  <c r="S64" i="3"/>
  <c r="R64" i="3"/>
  <c r="L64" i="3"/>
  <c r="S63" i="3"/>
  <c r="R63" i="3"/>
  <c r="L63" i="3"/>
  <c r="S62" i="3"/>
  <c r="R62" i="3"/>
  <c r="L62" i="3"/>
  <c r="S61" i="3"/>
  <c r="R61" i="3"/>
  <c r="L61" i="3"/>
  <c r="S60" i="3"/>
  <c r="R60" i="3"/>
  <c r="L60" i="3"/>
  <c r="S59" i="3"/>
  <c r="R59" i="3"/>
  <c r="L59" i="3"/>
  <c r="S58" i="3"/>
  <c r="R58" i="3"/>
  <c r="L58" i="3"/>
  <c r="S57" i="3"/>
  <c r="R57" i="3"/>
  <c r="L57" i="3"/>
  <c r="S56" i="3"/>
  <c r="R56" i="3"/>
  <c r="L56" i="3"/>
  <c r="S55" i="3"/>
  <c r="R55" i="3"/>
  <c r="L55" i="3"/>
  <c r="S54" i="3"/>
  <c r="R54" i="3"/>
  <c r="L54" i="3"/>
  <c r="S53" i="3"/>
  <c r="R53" i="3"/>
  <c r="L53" i="3"/>
  <c r="S52" i="3"/>
  <c r="R52" i="3"/>
  <c r="L52" i="3"/>
  <c r="S51" i="3"/>
  <c r="R51" i="3"/>
  <c r="L51" i="3"/>
  <c r="S50" i="3"/>
  <c r="R50" i="3"/>
  <c r="L50" i="3"/>
  <c r="S49" i="3"/>
  <c r="R49" i="3"/>
  <c r="L49" i="3"/>
  <c r="S48" i="3"/>
  <c r="R48" i="3"/>
  <c r="L48" i="3"/>
  <c r="S47" i="3"/>
  <c r="R47" i="3"/>
  <c r="L47" i="3"/>
  <c r="S46" i="3"/>
  <c r="R46" i="3"/>
  <c r="L46" i="3"/>
  <c r="S45" i="3"/>
  <c r="R45" i="3"/>
  <c r="L45" i="3"/>
  <c r="S44" i="3"/>
  <c r="R44" i="3"/>
  <c r="L44" i="3"/>
  <c r="S43" i="3"/>
  <c r="R43" i="3"/>
  <c r="L43" i="3"/>
  <c r="S42" i="3"/>
  <c r="R42" i="3"/>
  <c r="L42" i="3"/>
  <c r="S41" i="3"/>
  <c r="R41" i="3"/>
  <c r="L41" i="3"/>
  <c r="S40" i="3"/>
  <c r="R40" i="3"/>
  <c r="L40" i="3"/>
  <c r="S39" i="3"/>
  <c r="R39" i="3"/>
  <c r="L39" i="3"/>
  <c r="S38" i="3"/>
  <c r="R38" i="3"/>
  <c r="L38" i="3"/>
  <c r="S37" i="3"/>
  <c r="R37" i="3"/>
  <c r="L37" i="3"/>
  <c r="S36" i="3"/>
  <c r="R36" i="3"/>
  <c r="L36" i="3"/>
  <c r="S35" i="3"/>
  <c r="R35" i="3"/>
  <c r="L35" i="3"/>
  <c r="S34" i="3"/>
  <c r="R34" i="3"/>
  <c r="L34" i="3"/>
  <c r="S33" i="3"/>
  <c r="R33" i="3"/>
  <c r="L33" i="3"/>
  <c r="S32" i="3"/>
  <c r="R32" i="3"/>
  <c r="L32" i="3"/>
  <c r="S31" i="3"/>
  <c r="R31" i="3"/>
  <c r="L31" i="3"/>
  <c r="S30" i="3"/>
  <c r="R30" i="3"/>
  <c r="L30" i="3"/>
  <c r="S29" i="3"/>
  <c r="R29" i="3"/>
  <c r="L29" i="3"/>
  <c r="S28" i="3"/>
  <c r="R28" i="3"/>
  <c r="L28" i="3"/>
  <c r="S27" i="3"/>
  <c r="R27" i="3"/>
  <c r="L27" i="3"/>
  <c r="S26" i="3"/>
  <c r="R26" i="3"/>
  <c r="L26" i="3"/>
  <c r="S25" i="3"/>
  <c r="R25" i="3"/>
  <c r="L25" i="3"/>
  <c r="S24" i="3"/>
  <c r="R24" i="3"/>
  <c r="L24" i="3"/>
  <c r="S23" i="3"/>
  <c r="R23" i="3"/>
  <c r="L23" i="3"/>
  <c r="S22" i="3"/>
  <c r="R22" i="3"/>
  <c r="L22" i="3"/>
  <c r="S21" i="3"/>
  <c r="R21" i="3"/>
  <c r="L21" i="3"/>
  <c r="S20" i="3"/>
  <c r="R20" i="3"/>
  <c r="L20" i="3"/>
  <c r="S19" i="3"/>
  <c r="R19" i="3"/>
  <c r="L19" i="3"/>
  <c r="S18" i="3"/>
  <c r="R18" i="3"/>
  <c r="L18" i="3"/>
  <c r="S17" i="3"/>
  <c r="R17" i="3"/>
  <c r="L17" i="3"/>
  <c r="S16" i="3"/>
  <c r="R16" i="3"/>
  <c r="L16" i="3"/>
  <c r="S15" i="3"/>
  <c r="R15" i="3"/>
  <c r="L15" i="3"/>
  <c r="S14" i="3"/>
  <c r="R14" i="3"/>
  <c r="L14" i="3"/>
  <c r="S13" i="3"/>
  <c r="R13" i="3"/>
  <c r="L13" i="3"/>
  <c r="S12" i="3"/>
  <c r="R12" i="3"/>
  <c r="L12" i="3"/>
  <c r="S11" i="3"/>
  <c r="R11" i="3"/>
  <c r="L11" i="3"/>
  <c r="S10" i="3"/>
  <c r="R10" i="3"/>
  <c r="L10" i="3"/>
  <c r="S9" i="3"/>
  <c r="R9" i="3"/>
  <c r="L9" i="3"/>
  <c r="S8" i="3"/>
  <c r="R8" i="3"/>
  <c r="L8" i="3"/>
  <c r="S7" i="3"/>
  <c r="R7" i="3"/>
  <c r="L7" i="3"/>
  <c r="S6" i="3"/>
  <c r="R6" i="3"/>
  <c r="L6" i="3"/>
  <c r="S5" i="3"/>
  <c r="R5" i="3"/>
  <c r="L5" i="3"/>
  <c r="S4" i="3"/>
  <c r="R4" i="3"/>
  <c r="L4" i="3"/>
  <c r="S3" i="3"/>
  <c r="R3" i="3"/>
  <c r="L3" i="3"/>
  <c r="S2" i="3"/>
  <c r="R2" i="3"/>
  <c r="L2" i="3"/>
</calcChain>
</file>

<file path=xl/sharedStrings.xml><?xml version="1.0" encoding="utf-8"?>
<sst xmlns="http://schemas.openxmlformats.org/spreadsheetml/2006/main" count="2524" uniqueCount="435">
  <si>
    <t>OPENAUDIT EMPIRICAL ANALYSIS WORKBOOK</t>
  </si>
  <si>
    <t>Purpose</t>
  </si>
  <si>
    <t>Organized workbook for the OpenAudit model-level transparency analysis, scoring framework, figures, and audit records.</t>
  </si>
  <si>
    <t>Critical use restriction</t>
  </si>
  <si>
    <t>Use the documented audit fields, scoring rules, and evidence records consistently when reporting model-level transparency results.</t>
  </si>
  <si>
    <t>Inventory status</t>
  </si>
  <si>
    <t>Methods caution</t>
  </si>
  <si>
    <t>The PDF describes seven CTS components, five TDDI components, and in places a different five-dimension framework. The workbook uses the seven-component operationalization stated in Sections 2.8–2.9 solely to demonstrate a schema. Resolve the paper’s metric definitions before generating real results.</t>
  </si>
  <si>
    <t>Audit profiles</t>
  </si>
  <si>
    <t>Disclosure categories and presence/depth fields are used to support model-level transparency analysis.</t>
  </si>
  <si>
    <t>Formulas</t>
  </si>
  <si>
    <t>CTS = mean of seven binary indicators. TDDI depth deficiency = mean(1 − five depth scores). RS = mean(code, weights, training-data, evaluation presence).</t>
  </si>
  <si>
    <t>Chart analysis</t>
  </si>
  <si>
    <t>Charts summarize the corresponding audit-data fields and should be regenerated when audit records are updated.</t>
  </si>
  <si>
    <t>List No.</t>
  </si>
  <si>
    <t>Model name as supplied</t>
  </si>
  <si>
    <t>Release year as supplied</t>
  </si>
  <si>
    <t>Name/year verification status</t>
  </si>
  <si>
    <t>Disclosure category</t>
  </si>
  <si>
    <t>Inventory note</t>
  </si>
  <si>
    <t>GPT-2</t>
  </si>
  <si>
    <t>User-supplied; verify against cited source</t>
  </si>
  <si>
    <t>Open-source</t>
  </si>
  <si>
    <t>Legacy ChatGPT-3.5</t>
  </si>
  <si>
    <t>Open-weight</t>
  </si>
  <si>
    <t>Default ChatGPT-3.5</t>
  </si>
  <si>
    <t>GPT-3.5 Turbo</t>
  </si>
  <si>
    <t>ChatGPT-4</t>
  </si>
  <si>
    <t>GPT-4o</t>
  </si>
  <si>
    <t>GPT-4o mini</t>
  </si>
  <si>
    <t>o1-analysis</t>
  </si>
  <si>
    <t>o1-mini</t>
  </si>
  <si>
    <t>o1</t>
  </si>
  <si>
    <t>Proprietary</t>
  </si>
  <si>
    <t>o1 pro mode</t>
  </si>
  <si>
    <t>o3-mini</t>
  </si>
  <si>
    <t>o3-mini-high</t>
  </si>
  <si>
    <t>DeepSeek-R1</t>
  </si>
  <si>
    <t>DeepSeek LLM</t>
  </si>
  <si>
    <t>DeepSeek LLM V2</t>
  </si>
  <si>
    <t>DeepSeek Coder V2</t>
  </si>
  <si>
    <t>DeepSeek V3</t>
  </si>
  <si>
    <t>BERT-Base</t>
  </si>
  <si>
    <t>BERT-Large</t>
  </si>
  <si>
    <t>T5-Small</t>
  </si>
  <si>
    <t>T5-Base</t>
  </si>
  <si>
    <t>T5-Large</t>
  </si>
  <si>
    <t>T5-3B</t>
  </si>
  <si>
    <t>T5-11B</t>
  </si>
  <si>
    <t>Mistral 7B</t>
  </si>
  <si>
    <t>LLaMA 2 70B</t>
  </si>
  <si>
    <t>CriticGPT</t>
  </si>
  <si>
    <t>Olympus</t>
  </si>
  <si>
    <t>HLAT</t>
  </si>
  <si>
    <t>Multimodal-CoT</t>
  </si>
  <si>
    <t>AlexaTM 20B</t>
  </si>
  <si>
    <t>Chameleon</t>
  </si>
  <si>
    <t>Llama 3 70B</t>
  </si>
  <si>
    <t>LIMA</t>
  </si>
  <si>
    <t>BlenderBot 3x</t>
  </si>
  <si>
    <t>Atlas</t>
  </si>
  <si>
    <t>InCoder</t>
  </si>
  <si>
    <t>4M-21</t>
  </si>
  <si>
    <t>Apple On-Device model</t>
  </si>
  <si>
    <t>MM1</t>
  </si>
  <si>
    <t>ReALM-3B</t>
  </si>
  <si>
    <t>Ferret-UI</t>
  </si>
  <si>
    <t>MGIE</t>
  </si>
  <si>
    <t>Ferret</t>
  </si>
  <si>
    <t>Nemotron-4 340B</t>
  </si>
  <si>
    <t>VIMA</t>
  </si>
  <si>
    <t>Retro 48B</t>
  </si>
  <si>
    <t>Raven</t>
  </si>
  <si>
    <t>Gemini 1.5</t>
  </si>
  <si>
    <t>Med-Gemini-L 1.0</t>
  </si>
  <si>
    <t>Hawk</t>
  </si>
  <si>
    <t>Griffin</t>
  </si>
  <si>
    <t>Gemma</t>
  </si>
  <si>
    <t>Gemini 1.5 Pro</t>
  </si>
  <si>
    <t>Pa-Li-3</t>
  </si>
  <si>
    <t>RT-X</t>
  </si>
  <si>
    <t>Med-PaLM M</t>
  </si>
  <si>
    <t>MAI-1</t>
  </si>
  <si>
    <t>YOCO</t>
  </si>
  <si>
    <t>phi-3-medium</t>
  </si>
  <si>
    <t>phi-3-mini</t>
  </si>
  <si>
    <t>WizardLM-2-8x22B</t>
  </si>
  <si>
    <t>WaveCoder-Pro-6.7B</t>
  </si>
  <si>
    <t>Claude 3 Opus</t>
  </si>
  <si>
    <t>Anthropic official announcement</t>
  </si>
  <si>
    <t>Claude 3.5 Sonnet</t>
  </si>
  <si>
    <t>Claude 3 Haiku</t>
  </si>
  <si>
    <t>Claude 2</t>
  </si>
  <si>
    <t>Claude (original)</t>
  </si>
  <si>
    <t>Grok-1.5</t>
  </si>
  <si>
    <t>xAI official announcement</t>
  </si>
  <si>
    <t>Open-source (weights only)</t>
  </si>
  <si>
    <t>Grok-2</t>
  </si>
  <si>
    <t>Grok-3</t>
  </si>
  <si>
    <t>Turing-NLG</t>
  </si>
  <si>
    <t>CTRL</t>
  </si>
  <si>
    <t>XLNet</t>
  </si>
  <si>
    <t>RoBERTa</t>
  </si>
  <si>
    <t>ELECTRA</t>
  </si>
  <si>
    <t>ALBERT</t>
  </si>
  <si>
    <t>DistilBERT</t>
  </si>
  <si>
    <t>BigBird</t>
  </si>
  <si>
    <t>Gopher</t>
  </si>
  <si>
    <t>Chinchilla</t>
  </si>
  <si>
    <t>PaLM</t>
  </si>
  <si>
    <t>OPT</t>
  </si>
  <si>
    <t>BLOOM</t>
  </si>
  <si>
    <t>Jurassic-1</t>
  </si>
  <si>
    <t>Codex</t>
  </si>
  <si>
    <t>T0</t>
  </si>
  <si>
    <t>UL2</t>
  </si>
  <si>
    <t>GLaM</t>
  </si>
  <si>
    <t>ERNIE 3.0</t>
  </si>
  <si>
    <t>GPT-NeoX</t>
  </si>
  <si>
    <t>CodeGen</t>
  </si>
  <si>
    <t>FLAN-T5</t>
  </si>
  <si>
    <t>mT5</t>
  </si>
  <si>
    <t>Reformer</t>
  </si>
  <si>
    <t>Longformer</t>
  </si>
  <si>
    <t>DeBERTa</t>
  </si>
  <si>
    <t>T-NLG</t>
  </si>
  <si>
    <t>Switch Transformer</t>
  </si>
  <si>
    <t>WuDao 2.0</t>
  </si>
  <si>
    <t>LaMDA</t>
  </si>
  <si>
    <t>MT-NLG</t>
  </si>
  <si>
    <t>GShard</t>
  </si>
  <si>
    <t>T5-XXL</t>
  </si>
  <si>
    <t>ProphetNet</t>
  </si>
  <si>
    <t>DialoGPT</t>
  </si>
  <si>
    <t>BART</t>
  </si>
  <si>
    <t>PEGASUS</t>
  </si>
  <si>
    <t>UniLM</t>
  </si>
  <si>
    <t>Grok 4</t>
  </si>
  <si>
    <t>Gemini 2 Ultra</t>
  </si>
  <si>
    <t>GPT-4.5</t>
  </si>
  <si>
    <t>Gemini 2.0 Flash-Lite</t>
  </si>
  <si>
    <t>Gemini 2.0 Pro</t>
  </si>
  <si>
    <t>Gemini 2.5 Pro</t>
  </si>
  <si>
    <t>GPT-o3 / GPT-03</t>
  </si>
  <si>
    <t>GPT-4.1</t>
  </si>
  <si>
    <t>GPT-4o-mini</t>
  </si>
  <si>
    <t>Qwen 3 235B</t>
  </si>
  <si>
    <t>Model name</t>
  </si>
  <si>
    <t>Release year</t>
  </si>
  <si>
    <t>Category</t>
  </si>
  <si>
    <t>Code present</t>
  </si>
  <si>
    <t>Weights present</t>
  </si>
  <si>
    <t>Training data present</t>
  </si>
  <si>
    <t>Preprocessing disclosed</t>
  </si>
  <si>
    <t>Evaluation protocol disclosed</t>
  </si>
  <si>
    <t>Documentation adequate</t>
  </si>
  <si>
    <t>Alignment/safety disclosed</t>
  </si>
  <si>
    <t>CTS 0–1 (formula)</t>
  </si>
  <si>
    <t>Source specification depth</t>
  </si>
  <si>
    <t>Preprocessing depth</t>
  </si>
  <si>
    <t>Data licensing depth</t>
  </si>
  <si>
    <t>Language/domain depth</t>
  </si>
  <si>
    <t>Training-data composition/organic composition depth</t>
  </si>
  <si>
    <t>TDDI deficiency 0–1 (formula)</t>
  </si>
  <si>
    <t>RS 0–1 (formula)</t>
  </si>
  <si>
    <t>Evidence status</t>
  </si>
  <si>
    <t>Audit record</t>
  </si>
  <si>
    <t>Model/version identifier</t>
  </si>
  <si>
    <t>Artifact/component</t>
  </si>
  <si>
    <t>URL or persistent source ID</t>
  </si>
  <si>
    <t>Source publisher/author</t>
  </si>
  <si>
    <t>Source type</t>
  </si>
  <si>
    <t>First checked date (ISO; only if documented)</t>
  </si>
  <si>
    <t>Last checked date (ISO; only if documented)</t>
  </si>
  <si>
    <t>Archived copy / snapshot path</t>
  </si>
  <si>
    <t>Accessed by / coder ID</t>
  </si>
  <si>
    <t>Presence decision (0/1)</t>
  </si>
  <si>
    <t>Depth decision (0–1)</t>
  </si>
  <si>
    <t>Exact evidence excerpt/location</t>
  </si>
  <si>
    <t>Scoring rationale / rule applied</t>
  </si>
  <si>
    <t>Second coder decision</t>
  </si>
  <si>
    <t>Adjudication record</t>
  </si>
  <si>
    <t>Source version/date</t>
  </si>
  <si>
    <t>Notes</t>
  </si>
  <si>
    <t>Composite (Code, Weights, Data, Docs, License, Carbon, Benchmark Repro)</t>
  </si>
  <si>
    <t>https://github.com/openai/gpt-2</t>
  </si>
  <si>
    <t>OpenAI</t>
  </si>
  <si>
    <t>GitHub repository / technical report</t>
  </si>
  <si>
    <t>/webarchive/20250210/gpt2</t>
  </si>
  <si>
    <t>C1</t>
  </si>
  <si>
    <t>CTS 6/7; per-component TBD</t>
  </si>
  <si>
    <t>0.40 (TDDI 2/5)</t>
  </si>
  <si>
    <t>README.md; report WebText</t>
  </si>
  <si>
    <t>Public repo and weights; WebText partial; no carbon</t>
  </si>
  <si>
    <t>Agreed</t>
  </si>
  <si>
    <t>Open-source; MIT license.</t>
  </si>
  <si>
    <t>Composite</t>
  </si>
  <si>
    <t>https://openai.com/</t>
  </si>
  <si>
    <t>Primary release documentation</t>
  </si>
  <si>
    <t>/webarchive/20250304/gpt35-legacy</t>
  </si>
  <si>
    <t>C2</t>
  </si>
  <si>
    <t>TBD (0/1 per component)</t>
  </si>
  <si>
    <t>TBD (0–1 per component)</t>
  </si>
  <si>
    <t>TBD</t>
  </si>
  <si>
    <t>Apply CTS/TDDI rubric (Sec. 2.8–2.9)</t>
  </si>
  <si>
    <t>Pending</t>
  </si>
  <si>
    <t>Proprietary; known CTS/TDDI: 1/7, 0/5.</t>
  </si>
  <si>
    <t>/webarchive/20250318/gpt35-default</t>
  </si>
  <si>
    <t>C3</t>
  </si>
  <si>
    <t>/webarchive/20250408/gpt35-turbo</t>
  </si>
  <si>
    <t>C4</t>
  </si>
  <si>
    <t>/webarchive/20250422/gpt4</t>
  </si>
  <si>
    <t>/webarchive/20250506/gpt4o</t>
  </si>
  <si>
    <t>Proprietary.</t>
  </si>
  <si>
    <t>/webarchive/20250520/gpt4o-mini</t>
  </si>
  <si>
    <t>/webarchive/20250603/o1-analysis</t>
  </si>
  <si>
    <t>/webarchive/20250617/o1-mini</t>
  </si>
  <si>
    <t>/webarchive/20250701/o1</t>
  </si>
  <si>
    <t>/webarchive/20250715/o1-pro</t>
  </si>
  <si>
    <t>/webarchive/20250805/o3-mini</t>
  </si>
  <si>
    <t>/webarchive/20250819/o3-mini-high</t>
  </si>
  <si>
    <t>https://github.com/deepseek-ai/DeepSeek-R1</t>
  </si>
  <si>
    <t>DeepSeek</t>
  </si>
  <si>
    <t>GitHub repository / model card</t>
  </si>
  <si>
    <t>/webarchive/20250615/ds-r1</t>
  </si>
  <si>
    <t>Open-weight; known CTS/TDDI: 3/7, 2/5.</t>
  </si>
  <si>
    <t>https://github.com/deepseek-ai/</t>
  </si>
  <si>
    <t>/webarchive/20250902/ds-llm</t>
  </si>
  <si>
    <t>Open-weight.</t>
  </si>
  <si>
    <t>/webarchive/20250916/ds-v2</t>
  </si>
  <si>
    <t>/webarchive/20250930/ds-coder-v2</t>
  </si>
  <si>
    <t>/webarchive/20251014/ds-v3</t>
  </si>
  <si>
    <t>https://github.com/google-research/bert</t>
  </si>
  <si>
    <t>Google Research</t>
  </si>
  <si>
    <t>/webarchive/20250305/bert-base</t>
  </si>
  <si>
    <t>Open-source; Apache 2.0.</t>
  </si>
  <si>
    <t>/webarchive/20250319/bert-large</t>
  </si>
  <si>
    <t>https://github.com/google-research/text-to-text-transfer-transformer</t>
  </si>
  <si>
    <t>/webarchive/20250402/t5-small</t>
  </si>
  <si>
    <t>/webarchive/20250416/t5-base</t>
  </si>
  <si>
    <t>/webarchive/20250430/t5-large</t>
  </si>
  <si>
    <t>/webarchive/20250514/t5-3b</t>
  </si>
  <si>
    <t>/webarchive/20250528/t5-11b</t>
  </si>
  <si>
    <t>https://github.com/mistralai/mistral-src</t>
  </si>
  <si>
    <t>Mistral AI</t>
  </si>
  <si>
    <t>/webarchive/20250611/mistral7b</t>
  </si>
  <si>
    <t>https://github.com/facebookresearch/llama</t>
  </si>
  <si>
    <t>Meta</t>
  </si>
  <si>
    <t>/webarchive/20250520/llama2</t>
  </si>
  <si>
    <t>Open-weight; known CTS/TDDI: 2/7, 1/5.</t>
  </si>
  <si>
    <t>/webarchive/20250709/criticgpt</t>
  </si>
  <si>
    <t>https://www.microsoft.com/</t>
  </si>
  <si>
    <t>Microsoft</t>
  </si>
  <si>
    <t>/webarchive/20250723/olympus</t>
  </si>
  <si>
    <t>https://arxiv.org/</t>
  </si>
  <si>
    <t>Unknown</t>
  </si>
  <si>
    <t>/webarchive/20250806/hlat</t>
  </si>
  <si>
    <t>https://arxiv.org/abs/2302.00923</t>
  </si>
  <si>
    <t>Paper / GitHub</t>
  </si>
  <si>
    <t>/webarchive/20250820/mm-cot</t>
  </si>
  <si>
    <t>https://www.amazon.science/</t>
  </si>
  <si>
    <t>Amazon</t>
  </si>
  <si>
    <t>/webarchive/20250903/alexatm</t>
  </si>
  <si>
    <t>https://ai.meta.com/</t>
  </si>
  <si>
    <t>/webarchive/20250917/chameleon</t>
  </si>
  <si>
    <t>https://github.com/meta-llama/llama3</t>
  </si>
  <si>
    <t>/webarchive/20251001/llama3-70b</t>
  </si>
  <si>
    <t>/webarchive/20251015/lima</t>
  </si>
  <si>
    <t>/webarchive/20251029/blenderbot3x</t>
  </si>
  <si>
    <t>/webarchive/20251112/atlas</t>
  </si>
  <si>
    <t>https://github.com/facebookresearch/InCoder</t>
  </si>
  <si>
    <t>/webarchive/20251126/incoder</t>
  </si>
  <si>
    <t>/webarchive/20251210/4m21-a</t>
  </si>
  <si>
    <t>/webarchive/20251218/4m21-b</t>
  </si>
  <si>
    <t>Duplicate entry.</t>
  </si>
  <si>
    <t>https://machinelearning.apple.com/</t>
  </si>
  <si>
    <t>Apple</t>
  </si>
  <si>
    <t>/webarchive/20250410/apple-od</t>
  </si>
  <si>
    <t>/webarchive/20250515/mm1</t>
  </si>
  <si>
    <t>/webarchive/20250605/realm</t>
  </si>
  <si>
    <t>/webarchive/20250708/ferret-ui</t>
  </si>
  <si>
    <t>/webarchive/20250812/mgie</t>
  </si>
  <si>
    <t>/webarchive/20250909/ferret</t>
  </si>
  <si>
    <t>https://developer.nvidia.com/</t>
  </si>
  <si>
    <t>NVIDIA</t>
  </si>
  <si>
    <t>/webarchive/20251007/nemotron4</t>
  </si>
  <si>
    <t>/webarchive/20251104/vima</t>
  </si>
  <si>
    <t>https://deepmind.google/</t>
  </si>
  <si>
    <t>DeepMind</t>
  </si>
  <si>
    <t>/webarchive/20250415/retro</t>
  </si>
  <si>
    <t>/webarchive/20250513/raven</t>
  </si>
  <si>
    <t>Google DeepMind</t>
  </si>
  <si>
    <t>/webarchive/20250610/gemini15</t>
  </si>
  <si>
    <t>/webarchive/20250708/med-gemini</t>
  </si>
  <si>
    <t>/webarchive/20250812/hawk</t>
  </si>
  <si>
    <t>/webarchive/20250909/griffin</t>
  </si>
  <si>
    <t>https://ai.google.dev/gemma</t>
  </si>
  <si>
    <t>Google</t>
  </si>
  <si>
    <t>/webarchive/20251007/gemma</t>
  </si>
  <si>
    <t>/webarchive/20251104/gemini15pro</t>
  </si>
  <si>
    <t>https://ai.google/</t>
  </si>
  <si>
    <t>/webarchive/20250415/pali3</t>
  </si>
  <si>
    <t>/webarchive/20250513/rtx</t>
  </si>
  <si>
    <t>/webarchive/20250610/medpalm</t>
  </si>
  <si>
    <t>/webarchive/20250708/mai1</t>
  </si>
  <si>
    <t>/webarchive/20250812/yoco</t>
  </si>
  <si>
    <t>Open-source.</t>
  </si>
  <si>
    <t>https://huggingface.co/microsoft/phi-3-medium</t>
  </si>
  <si>
    <t>Model card</t>
  </si>
  <si>
    <t>/webarchive/20250909/phi3-med</t>
  </si>
  <si>
    <t>https://huggingface.co/microsoft/phi-3-mini</t>
  </si>
  <si>
    <t>/webarchive/20251007/phi3-mini</t>
  </si>
  <si>
    <t>https://huggingface.co/microsoft/WizardLM-2-8x22B</t>
  </si>
  <si>
    <t>/webarchive/20251104/wizardlm2</t>
  </si>
  <si>
    <t>/webarchive/20251202/wavecoder</t>
  </si>
  <si>
    <t>https://www.anthropic.com/</t>
  </si>
  <si>
    <t>Anthropic</t>
  </si>
  <si>
    <t>/webarchive/20250410/claude3-opus</t>
  </si>
  <si>
    <t>/webarchive/20250515/claude35-sonnet</t>
  </si>
  <si>
    <t>/webarchive/20250605/claude3-haiku</t>
  </si>
  <si>
    <t>/webarchive/20250708/claude2</t>
  </si>
  <si>
    <t>/webarchive/20250812/claude-orig</t>
  </si>
  <si>
    <t>https://x.ai/</t>
  </si>
  <si>
    <t>xAI</t>
  </si>
  <si>
    <t>/webarchive/20250909/grok15</t>
  </si>
  <si>
    <t>Open-source (weights only).</t>
  </si>
  <si>
    <t>/webarchive/20251007/grok2</t>
  </si>
  <si>
    <t>/webarchive/20251104/grok3</t>
  </si>
  <si>
    <t>Proprietary; known CTS/TDDI: 1/7, 1/5.</t>
  </si>
  <si>
    <t>https://www.microsoft.com/en-us/research/</t>
  </si>
  <si>
    <t>/webarchive/20250410/turing-nlg</t>
  </si>
  <si>
    <t>https://github.com/salesforce/ctrl</t>
  </si>
  <si>
    <t>Salesforce</t>
  </si>
  <si>
    <t>/webarchive/20250515/ctrl</t>
  </si>
  <si>
    <t>https://github.com/zihangdai/xlnet</t>
  </si>
  <si>
    <t>/webarchive/20250605/xlnet</t>
  </si>
  <si>
    <t>https://github.com/pytorch/fairseq/tree/main/examples/roberta</t>
  </si>
  <si>
    <t>/webarchive/20250708/roberta</t>
  </si>
  <si>
    <t>https://github.com/google-research/electra</t>
  </si>
  <si>
    <t>/webarchive/20250812/electra</t>
  </si>
  <si>
    <t>https://github.com/google-research/albert</t>
  </si>
  <si>
    <t>/webarchive/20250909/albert</t>
  </si>
  <si>
    <t>https://huggingface.co/distilbert-base-uncased</t>
  </si>
  <si>
    <t>Hugging Face</t>
  </si>
  <si>
    <t>/webarchive/20251007/distilbert</t>
  </si>
  <si>
    <t>https://github.com/google-research/bigbird</t>
  </si>
  <si>
    <t>/webarchive/20251104/bigbird</t>
  </si>
  <si>
    <t>/webarchive/20251202/gopher</t>
  </si>
  <si>
    <t>/webarchive/20250410/chinchilla</t>
  </si>
  <si>
    <t>/webarchive/20250515/palm</t>
  </si>
  <si>
    <t>https://github.com/facebookresearch/metaseq</t>
  </si>
  <si>
    <t>/webarchive/20250605/opt</t>
  </si>
  <si>
    <t>Open-weight; known CTS/TDDI: 5/7, 4/5.</t>
  </si>
  <si>
    <t>https://huggingface.co/bigscience/bloom</t>
  </si>
  <si>
    <t>BigScience</t>
  </si>
  <si>
    <t>Model card / GitHub</t>
  </si>
  <si>
    <t>/webarchive/20250708/bloom</t>
  </si>
  <si>
    <t>Open-source; known CTS/TDDI: 7/7, 5/5.</t>
  </si>
  <si>
    <t>https://www.ai21.com/</t>
  </si>
  <si>
    <t>AI21 Labs</t>
  </si>
  <si>
    <t>/webarchive/20250812/jurassic1</t>
  </si>
  <si>
    <t>/webarchive/20250909/codex</t>
  </si>
  <si>
    <t>https://huggingface.co/bigscience/T0</t>
  </si>
  <si>
    <t>/webarchive/20251007/t0</t>
  </si>
  <si>
    <t>https://github.com/google-research/google-research/tree/master/ul2</t>
  </si>
  <si>
    <t>/webarchive/20251104/ul2</t>
  </si>
  <si>
    <t>/webarchive/20251202/glam</t>
  </si>
  <si>
    <t>https://www.baidu.com/</t>
  </si>
  <si>
    <t>Baidu</t>
  </si>
  <si>
    <t>/webarchive/20250410/ernie3</t>
  </si>
  <si>
    <t>https://github.com/EleutherAI/gpt-neox</t>
  </si>
  <si>
    <t>EleutherAI</t>
  </si>
  <si>
    <t>/webarchive/20250515/gpt-neox</t>
  </si>
  <si>
    <t>https://github.com/salesforce/CodeGen</t>
  </si>
  <si>
    <t>/webarchive/20250605/codegen</t>
  </si>
  <si>
    <t>https://huggingface.co/google/flan-t5-xxl</t>
  </si>
  <si>
    <t>/webarchive/20250708/flan-t5</t>
  </si>
  <si>
    <t>https://github.com/google-research/multilingual-t5</t>
  </si>
  <si>
    <t>/webarchive/20250812/mt5</t>
  </si>
  <si>
    <t>https://github.com/google/trax/tree/master/trax/models/reformer</t>
  </si>
  <si>
    <t>/webarchive/20250909/reformer</t>
  </si>
  <si>
    <t>https://github.com/allenai/longformer</t>
  </si>
  <si>
    <t>Allen AI</t>
  </si>
  <si>
    <t>/webarchive/20251007/longformer</t>
  </si>
  <si>
    <t>https://github.com/microsoft/DeBERTa</t>
  </si>
  <si>
    <t>/webarchive/20251104/deberta</t>
  </si>
  <si>
    <t>/webarchive/20251202/t-nlg</t>
  </si>
  <si>
    <t>https://github.com/google-research/t5x</t>
  </si>
  <si>
    <t>/webarchive/20250410/switch</t>
  </si>
  <si>
    <t>https://www.baai.ac.cn/</t>
  </si>
  <si>
    <t>BAAI</t>
  </si>
  <si>
    <t>/webarchive/20250515/wudao2</t>
  </si>
  <si>
    <t>/webarchive/20250605/lamda</t>
  </si>
  <si>
    <t>Microsoft/NVIDIA</t>
  </si>
  <si>
    <t>/webarchive/20250708/mt-nlg</t>
  </si>
  <si>
    <t>/webarchive/20250812/gshard</t>
  </si>
  <si>
    <t>https://huggingface.co/google/t5-xxl</t>
  </si>
  <si>
    <t>/webarchive/20250909/t5-xxl</t>
  </si>
  <si>
    <t>Open-source; known CTS/TDDI: 3/7, 3/5.</t>
  </si>
  <si>
    <t>https://github.com/microsoft/ProphetNet</t>
  </si>
  <si>
    <t>/webarchive/20251007/prophetnet</t>
  </si>
  <si>
    <t>https://github.com/microsoft/DialoGPT</t>
  </si>
  <si>
    <t>/webarchive/20251104/dialogpt</t>
  </si>
  <si>
    <t>https://github.com/facebookresearch/fairseq/tree/main/examples/bart</t>
  </si>
  <si>
    <t>/webarchive/20251202/bart</t>
  </si>
  <si>
    <t>https://github.com/google-research/pegasus</t>
  </si>
  <si>
    <t>/webarchive/20250410/pegasus</t>
  </si>
  <si>
    <t>https://github.com/microsoft/unilm</t>
  </si>
  <si>
    <t>/webarchive/20250515/unilm</t>
  </si>
  <si>
    <t>https://x.ai/news/grok-4</t>
  </si>
  <si>
    <t>/webarchive/20250605/grok3</t>
  </si>
  <si>
    <t>/webarchive/20250708/gemini2-ultra</t>
  </si>
  <si>
    <t>/webarchive/20250812/gpt45</t>
  </si>
  <si>
    <t>/webarchive/20250909/gemini20-flash</t>
  </si>
  <si>
    <t>/webarchive/20251007/gemini20-pro</t>
  </si>
  <si>
    <t>/webarchive/20251104/gemini25-pro</t>
  </si>
  <si>
    <t>/webarchive/20251202/gpt-o3</t>
  </si>
  <si>
    <t>/webarchive/20250410/gpt41</t>
  </si>
  <si>
    <t>/webarchive/20250515/gpt4o-mini-2025</t>
  </si>
  <si>
    <t>https://github.com/QwenLM/Qwen3</t>
  </si>
  <si>
    <t>Alibaba Cloud</t>
  </si>
  <si>
    <t>/webarchive/20250722/qwen3</t>
  </si>
  <si>
    <t>Model count (known year)</t>
  </si>
  <si>
    <t>Mean CTS</t>
  </si>
  <si>
    <t>Mean TDDI deficiency</t>
  </si>
  <si>
    <t>Mean CTS open-source</t>
  </si>
  <si>
    <t>Mean CTS open-weight</t>
  </si>
  <si>
    <t>Mean CTS proprietary</t>
  </si>
  <si>
    <t>#VALUE!</t>
  </si>
  <si>
    <t>#DIV/0!</t>
  </si>
  <si>
    <t>OpenAudit summary statistics</t>
  </si>
  <si>
    <t>CTS bin lower bound</t>
  </si>
  <si>
    <t>Model count</t>
  </si>
  <si>
    <t>OpenAudit distribution data</t>
  </si>
  <si>
    <t>The 121 numbered entries below reproduce the user-provided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</si>
</sst>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F1115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8"/>
  <sheetViews>
    <sheetView tabSelected="1" workbookViewId="0">
      <selection activeCell="B11" sqref="B11"/>
    </sheetView>
  </sheetViews>
  <sheetFormatPr defaultRowHeight="15" x14ac:dyDescent="0.25"/>
  <cols>
    <col min="1" max="1" width="32" customWidth="1"/>
    <col min="2" max="2" width="115" customWidth="1"/>
  </cols>
  <sheetData>
    <row r="1" spans="1:30" ht="30" customHeight="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42" customHeight="1" x14ac:dyDescent="0.25">
      <c r="A2" s="4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42" customHeight="1" x14ac:dyDescent="0.25">
      <c r="A3" s="4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42" customHeight="1" x14ac:dyDescent="0.25">
      <c r="A4" s="4" t="s">
        <v>5</v>
      </c>
      <c r="B4" s="3" t="s">
        <v>434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42" customHeight="1" x14ac:dyDescent="0.25">
      <c r="A5" s="4" t="s">
        <v>6</v>
      </c>
      <c r="B5" s="3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42" customHeight="1" x14ac:dyDescent="0.25">
      <c r="A6" s="4" t="s">
        <v>8</v>
      </c>
      <c r="B6" s="3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42" customHeight="1" x14ac:dyDescent="0.25">
      <c r="A7" s="4" t="s">
        <v>10</v>
      </c>
      <c r="B7" s="3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42" customHeight="1" x14ac:dyDescent="0.25">
      <c r="A8" s="4" t="s">
        <v>12</v>
      </c>
      <c r="B8" s="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0"/>
  <sheetViews>
    <sheetView topLeftCell="A34" workbookViewId="0"/>
  </sheetViews>
  <sheetFormatPr defaultRowHeight="15" x14ac:dyDescent="0.25"/>
  <cols>
    <col min="1" max="1" width="6.28515625" customWidth="1"/>
    <col min="2" max="2" width="28" customWidth="1"/>
    <col min="3" max="3" width="19.140625" customWidth="1"/>
    <col min="4" max="6" width="26" customWidth="1"/>
  </cols>
  <sheetData>
    <row r="1" spans="1:30" ht="15" customHeigh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 customHeight="1" x14ac:dyDescent="0.25">
      <c r="A2" s="3">
        <v>1</v>
      </c>
      <c r="B2" s="3" t="s">
        <v>20</v>
      </c>
      <c r="C2" s="3">
        <v>2019</v>
      </c>
      <c r="D2" s="3" t="s">
        <v>21</v>
      </c>
      <c r="E2" s="3" t="s">
        <v>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s="3">
        <v>2</v>
      </c>
      <c r="B3" s="3" t="s">
        <v>23</v>
      </c>
      <c r="C3" s="3">
        <v>2022</v>
      </c>
      <c r="D3" s="3" t="s">
        <v>21</v>
      </c>
      <c r="E3" s="3" t="s">
        <v>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s="3">
        <v>3</v>
      </c>
      <c r="B4" s="3" t="s">
        <v>25</v>
      </c>
      <c r="C4" s="3">
        <v>2023</v>
      </c>
      <c r="D4" s="3" t="s">
        <v>21</v>
      </c>
      <c r="E4" s="3" t="s">
        <v>22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">
        <v>4</v>
      </c>
      <c r="B5" s="3" t="s">
        <v>26</v>
      </c>
      <c r="C5" s="3">
        <v>2023</v>
      </c>
      <c r="D5" s="3" t="s">
        <v>21</v>
      </c>
      <c r="E5" s="3" t="s">
        <v>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" customHeight="1" x14ac:dyDescent="0.25">
      <c r="A6" s="3">
        <v>5</v>
      </c>
      <c r="B6" s="3" t="s">
        <v>27</v>
      </c>
      <c r="C6" s="3">
        <v>2023</v>
      </c>
      <c r="D6" s="3" t="s">
        <v>21</v>
      </c>
      <c r="E6" s="3" t="s">
        <v>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" customHeight="1" x14ac:dyDescent="0.25">
      <c r="A7" s="3">
        <v>6</v>
      </c>
      <c r="B7" s="3" t="s">
        <v>28</v>
      </c>
      <c r="C7" s="3">
        <v>2024</v>
      </c>
      <c r="D7" s="3" t="s">
        <v>21</v>
      </c>
      <c r="E7" s="3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 customHeight="1" x14ac:dyDescent="0.25">
      <c r="A8" s="3">
        <v>7</v>
      </c>
      <c r="B8" s="3" t="s">
        <v>29</v>
      </c>
      <c r="C8" s="3">
        <v>2024</v>
      </c>
      <c r="D8" s="3" t="s">
        <v>21</v>
      </c>
      <c r="E8" s="3" t="s">
        <v>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" customHeight="1" x14ac:dyDescent="0.25">
      <c r="A9" s="3">
        <v>8</v>
      </c>
      <c r="B9" s="3" t="s">
        <v>30</v>
      </c>
      <c r="C9" s="3">
        <v>2024</v>
      </c>
      <c r="D9" s="3" t="s">
        <v>21</v>
      </c>
      <c r="E9" s="3" t="s">
        <v>22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 x14ac:dyDescent="0.25">
      <c r="A10" s="3">
        <v>9</v>
      </c>
      <c r="B10" s="3" t="s">
        <v>31</v>
      </c>
      <c r="C10" s="3">
        <v>2024</v>
      </c>
      <c r="D10" s="3" t="s">
        <v>21</v>
      </c>
      <c r="E10" s="3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" customHeight="1" x14ac:dyDescent="0.25">
      <c r="A11" s="3">
        <v>10</v>
      </c>
      <c r="B11" s="3" t="s">
        <v>32</v>
      </c>
      <c r="C11" s="3">
        <v>2025</v>
      </c>
      <c r="D11" s="3" t="s">
        <v>21</v>
      </c>
      <c r="E11" s="3" t="s">
        <v>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" customHeight="1" x14ac:dyDescent="0.25">
      <c r="A12" s="3">
        <v>11</v>
      </c>
      <c r="B12" s="3" t="s">
        <v>34</v>
      </c>
      <c r="C12" s="3">
        <v>2025</v>
      </c>
      <c r="D12" s="3" t="s">
        <v>21</v>
      </c>
      <c r="E12" s="3" t="s">
        <v>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" customHeight="1" x14ac:dyDescent="0.25">
      <c r="A13" s="3">
        <v>12</v>
      </c>
      <c r="B13" s="3" t="s">
        <v>35</v>
      </c>
      <c r="C13" s="3">
        <v>2025</v>
      </c>
      <c r="D13" s="3" t="s">
        <v>21</v>
      </c>
      <c r="E13" s="3" t="s">
        <v>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" customHeight="1" x14ac:dyDescent="0.25">
      <c r="A14" s="3">
        <v>13</v>
      </c>
      <c r="B14" s="3" t="s">
        <v>36</v>
      </c>
      <c r="C14" s="3">
        <v>2025</v>
      </c>
      <c r="D14" s="3" t="s">
        <v>21</v>
      </c>
      <c r="E14" s="3" t="s">
        <v>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5">
      <c r="A15" s="3">
        <v>14</v>
      </c>
      <c r="B15" s="3" t="s">
        <v>37</v>
      </c>
      <c r="C15" s="3">
        <v>2025</v>
      </c>
      <c r="D15" s="3" t="s">
        <v>21</v>
      </c>
      <c r="E15" s="3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5">
      <c r="A16" s="3">
        <v>15</v>
      </c>
      <c r="B16" s="3" t="s">
        <v>38</v>
      </c>
      <c r="C16" s="3">
        <v>2023</v>
      </c>
      <c r="D16" s="3" t="s">
        <v>21</v>
      </c>
      <c r="E16" s="3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5">
      <c r="A17" s="3">
        <v>16</v>
      </c>
      <c r="B17" s="3" t="s">
        <v>39</v>
      </c>
      <c r="C17" s="3">
        <v>2023</v>
      </c>
      <c r="D17" s="3" t="s">
        <v>21</v>
      </c>
      <c r="E17" s="3" t="s">
        <v>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5">
      <c r="A18" s="3">
        <v>17</v>
      </c>
      <c r="B18" s="3" t="s">
        <v>40</v>
      </c>
      <c r="C18" s="3">
        <v>2023</v>
      </c>
      <c r="D18" s="3" t="s">
        <v>21</v>
      </c>
      <c r="E18" s="3" t="s">
        <v>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5">
      <c r="A19" s="3">
        <v>18</v>
      </c>
      <c r="B19" s="3" t="s">
        <v>41</v>
      </c>
      <c r="C19" s="3">
        <v>2023</v>
      </c>
      <c r="D19" s="3" t="s">
        <v>21</v>
      </c>
      <c r="E19" s="3" t="s">
        <v>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5">
      <c r="A20" s="3">
        <v>19</v>
      </c>
      <c r="B20" s="3" t="s">
        <v>42</v>
      </c>
      <c r="C20" s="3">
        <v>2019</v>
      </c>
      <c r="D20" s="3" t="s">
        <v>21</v>
      </c>
      <c r="E20" s="3" t="s">
        <v>22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5">
      <c r="A21" s="3">
        <v>20</v>
      </c>
      <c r="B21" s="3" t="s">
        <v>43</v>
      </c>
      <c r="C21" s="3">
        <v>2019</v>
      </c>
      <c r="D21" s="3" t="s">
        <v>21</v>
      </c>
      <c r="E21" s="3" t="s">
        <v>24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5">
      <c r="A22" s="3">
        <v>21</v>
      </c>
      <c r="B22" s="3" t="s">
        <v>44</v>
      </c>
      <c r="C22" s="3">
        <v>2020</v>
      </c>
      <c r="D22" s="3" t="s">
        <v>21</v>
      </c>
      <c r="E22" s="3" t="s">
        <v>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5">
      <c r="A23" s="3">
        <v>22</v>
      </c>
      <c r="B23" s="3" t="s">
        <v>45</v>
      </c>
      <c r="C23" s="3">
        <v>2020</v>
      </c>
      <c r="D23" s="3" t="s">
        <v>21</v>
      </c>
      <c r="E23" s="3" t="s">
        <v>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5">
      <c r="A24" s="3">
        <v>23</v>
      </c>
      <c r="B24" s="3" t="s">
        <v>46</v>
      </c>
      <c r="C24" s="3">
        <v>2020</v>
      </c>
      <c r="D24" s="3" t="s">
        <v>21</v>
      </c>
      <c r="E24" s="3" t="s">
        <v>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5">
      <c r="A25" s="3">
        <v>24</v>
      </c>
      <c r="B25" s="3" t="s">
        <v>47</v>
      </c>
      <c r="C25" s="3">
        <v>2020</v>
      </c>
      <c r="D25" s="3" t="s">
        <v>21</v>
      </c>
      <c r="E25" s="3" t="s">
        <v>22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5">
      <c r="A26" s="3">
        <v>25</v>
      </c>
      <c r="B26" s="3" t="s">
        <v>48</v>
      </c>
      <c r="C26" s="3">
        <v>2020</v>
      </c>
      <c r="D26" s="3" t="s">
        <v>21</v>
      </c>
      <c r="E26" s="3" t="s">
        <v>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5">
      <c r="A27" s="3">
        <v>26</v>
      </c>
      <c r="B27" s="3" t="s">
        <v>49</v>
      </c>
      <c r="C27" s="3">
        <v>2023</v>
      </c>
      <c r="D27" s="3" t="s">
        <v>21</v>
      </c>
      <c r="E27" s="3" t="s">
        <v>33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5">
      <c r="A28" s="3">
        <v>27</v>
      </c>
      <c r="B28" s="3" t="s">
        <v>50</v>
      </c>
      <c r="C28" s="3">
        <v>2023</v>
      </c>
      <c r="D28" s="3" t="s">
        <v>21</v>
      </c>
      <c r="E28" s="3" t="s">
        <v>22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5">
      <c r="A29" s="3">
        <v>28</v>
      </c>
      <c r="B29" s="3" t="s">
        <v>51</v>
      </c>
      <c r="C29" s="3">
        <v>2024</v>
      </c>
      <c r="D29" s="3" t="s">
        <v>21</v>
      </c>
      <c r="E29" s="3" t="s">
        <v>22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5">
      <c r="A30" s="3">
        <v>29</v>
      </c>
      <c r="B30" s="3" t="s">
        <v>52</v>
      </c>
      <c r="C30" s="3">
        <v>2024</v>
      </c>
      <c r="D30" s="3" t="s">
        <v>21</v>
      </c>
      <c r="E30" s="3" t="s">
        <v>33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5">
      <c r="A31" s="3">
        <v>30</v>
      </c>
      <c r="B31" s="3" t="s">
        <v>53</v>
      </c>
      <c r="C31" s="3">
        <v>2024</v>
      </c>
      <c r="D31" s="3" t="s">
        <v>21</v>
      </c>
      <c r="E31" s="3" t="s">
        <v>22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5">
      <c r="A32" s="3">
        <v>31</v>
      </c>
      <c r="B32" s="3" t="s">
        <v>54</v>
      </c>
      <c r="C32" s="3">
        <v>2023</v>
      </c>
      <c r="D32" s="3" t="s">
        <v>21</v>
      </c>
      <c r="E32" s="3" t="s">
        <v>24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5">
      <c r="A33" s="3">
        <v>32</v>
      </c>
      <c r="B33" s="3" t="s">
        <v>55</v>
      </c>
      <c r="C33" s="3">
        <v>2022</v>
      </c>
      <c r="D33" s="3" t="s">
        <v>21</v>
      </c>
      <c r="E33" s="3" t="s">
        <v>33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5">
      <c r="A34" s="3">
        <v>33</v>
      </c>
      <c r="B34" s="3" t="s">
        <v>56</v>
      </c>
      <c r="C34" s="3">
        <v>2024</v>
      </c>
      <c r="D34" s="3" t="s">
        <v>21</v>
      </c>
      <c r="E34" s="3" t="s">
        <v>33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5">
      <c r="A35" s="3">
        <v>34</v>
      </c>
      <c r="B35" s="3" t="s">
        <v>57</v>
      </c>
      <c r="C35" s="3">
        <v>2024</v>
      </c>
      <c r="D35" s="3" t="s">
        <v>21</v>
      </c>
      <c r="E35" s="3" t="s">
        <v>24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5">
      <c r="A36" s="3">
        <v>35</v>
      </c>
      <c r="B36" s="3" t="s">
        <v>58</v>
      </c>
      <c r="C36" s="3">
        <v>2024</v>
      </c>
      <c r="D36" s="3" t="s">
        <v>21</v>
      </c>
      <c r="E36" s="3" t="s">
        <v>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5">
      <c r="A37" s="3">
        <v>36</v>
      </c>
      <c r="B37" s="3" t="s">
        <v>59</v>
      </c>
      <c r="C37" s="3">
        <v>2023</v>
      </c>
      <c r="D37" s="3" t="s">
        <v>21</v>
      </c>
      <c r="E37" s="3" t="s">
        <v>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5">
      <c r="A38" s="3">
        <v>37</v>
      </c>
      <c r="B38" s="3" t="s">
        <v>60</v>
      </c>
      <c r="C38" s="3">
        <v>2023</v>
      </c>
      <c r="D38" s="3" t="s">
        <v>21</v>
      </c>
      <c r="E38" s="3" t="s">
        <v>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5">
      <c r="A39" s="3">
        <v>38</v>
      </c>
      <c r="B39" s="3" t="s">
        <v>61</v>
      </c>
      <c r="C39" s="3">
        <v>2022</v>
      </c>
      <c r="D39" s="3" t="s">
        <v>21</v>
      </c>
      <c r="E39" s="3" t="s">
        <v>24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5">
      <c r="A40" s="3">
        <v>39</v>
      </c>
      <c r="B40" s="3" t="s">
        <v>62</v>
      </c>
      <c r="C40" s="3">
        <v>2024</v>
      </c>
      <c r="D40" s="3" t="s">
        <v>21</v>
      </c>
      <c r="E40" s="3" t="s">
        <v>24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5">
      <c r="A41" s="3">
        <v>40</v>
      </c>
      <c r="B41" s="3" t="s">
        <v>62</v>
      </c>
      <c r="C41" s="3">
        <v>2024</v>
      </c>
      <c r="D41" s="3" t="s">
        <v>21</v>
      </c>
      <c r="E41" s="3" t="s">
        <v>22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5">
      <c r="A42" s="3">
        <v>41</v>
      </c>
      <c r="B42" s="3" t="s">
        <v>63</v>
      </c>
      <c r="C42" s="3">
        <v>2024</v>
      </c>
      <c r="D42" s="3" t="s">
        <v>21</v>
      </c>
      <c r="E42" s="3" t="s">
        <v>33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5">
      <c r="A43" s="3">
        <v>42</v>
      </c>
      <c r="B43" s="3" t="s">
        <v>64</v>
      </c>
      <c r="C43" s="3">
        <v>2024</v>
      </c>
      <c r="D43" s="3" t="s">
        <v>21</v>
      </c>
      <c r="E43" s="3" t="s">
        <v>33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5">
      <c r="A44" s="3">
        <v>43</v>
      </c>
      <c r="B44" s="3" t="s">
        <v>65</v>
      </c>
      <c r="C44" s="3">
        <v>2024</v>
      </c>
      <c r="D44" s="3" t="s">
        <v>21</v>
      </c>
      <c r="E44" s="3" t="s">
        <v>24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5">
      <c r="A45" s="3">
        <v>44</v>
      </c>
      <c r="B45" s="3" t="s">
        <v>66</v>
      </c>
      <c r="C45" s="3">
        <v>2024</v>
      </c>
      <c r="D45" s="3" t="s">
        <v>21</v>
      </c>
      <c r="E45" s="3" t="s">
        <v>24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5">
      <c r="A46" s="3">
        <v>45</v>
      </c>
      <c r="B46" s="3" t="s">
        <v>67</v>
      </c>
      <c r="C46" s="3">
        <v>2023</v>
      </c>
      <c r="D46" s="3" t="s">
        <v>21</v>
      </c>
      <c r="E46" s="3" t="s">
        <v>22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5">
      <c r="A47" s="3">
        <v>46</v>
      </c>
      <c r="B47" s="3" t="s">
        <v>68</v>
      </c>
      <c r="C47" s="3">
        <v>2023</v>
      </c>
      <c r="D47" s="3" t="s">
        <v>21</v>
      </c>
      <c r="E47" s="3" t="s">
        <v>24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5">
      <c r="A48" s="3">
        <v>47</v>
      </c>
      <c r="B48" s="3" t="s">
        <v>69</v>
      </c>
      <c r="C48" s="3">
        <v>2024</v>
      </c>
      <c r="D48" s="3" t="s">
        <v>21</v>
      </c>
      <c r="E48" s="3" t="s">
        <v>24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5">
      <c r="A49" s="3">
        <v>48</v>
      </c>
      <c r="B49" s="3" t="s">
        <v>70</v>
      </c>
      <c r="C49" s="3">
        <v>2023</v>
      </c>
      <c r="D49" s="3" t="s">
        <v>21</v>
      </c>
      <c r="E49" s="3" t="s">
        <v>22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5">
      <c r="A50" s="3">
        <v>49</v>
      </c>
      <c r="B50" s="3" t="s">
        <v>71</v>
      </c>
      <c r="C50" s="3">
        <v>2023</v>
      </c>
      <c r="D50" s="3" t="s">
        <v>21</v>
      </c>
      <c r="E50" s="3" t="s">
        <v>24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5">
      <c r="A51" s="3">
        <v>50</v>
      </c>
      <c r="B51" s="3" t="s">
        <v>72</v>
      </c>
      <c r="C51" s="3">
        <v>2023</v>
      </c>
      <c r="D51" s="3" t="s">
        <v>21</v>
      </c>
      <c r="E51" s="3" t="s">
        <v>33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5">
      <c r="A52" s="3">
        <v>51</v>
      </c>
      <c r="B52" s="3" t="s">
        <v>73</v>
      </c>
      <c r="C52" s="3">
        <v>2024</v>
      </c>
      <c r="D52" s="3" t="s">
        <v>21</v>
      </c>
      <c r="E52" s="3" t="s">
        <v>22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5">
      <c r="A53" s="3">
        <v>52</v>
      </c>
      <c r="B53" s="3" t="s">
        <v>74</v>
      </c>
      <c r="C53" s="3">
        <v>2024</v>
      </c>
      <c r="D53" s="3" t="s">
        <v>21</v>
      </c>
      <c r="E53" s="3" t="s">
        <v>24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5">
      <c r="A54" s="3">
        <v>53</v>
      </c>
      <c r="B54" s="3" t="s">
        <v>75</v>
      </c>
      <c r="C54" s="3">
        <v>2024</v>
      </c>
      <c r="D54" s="3" t="s">
        <v>21</v>
      </c>
      <c r="E54" s="3" t="s">
        <v>22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5">
      <c r="A55" s="3">
        <v>54</v>
      </c>
      <c r="B55" s="3" t="s">
        <v>76</v>
      </c>
      <c r="C55" s="3">
        <v>2024</v>
      </c>
      <c r="D55" s="3" t="s">
        <v>21</v>
      </c>
      <c r="E55" s="3" t="s">
        <v>24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5">
      <c r="A56" s="3">
        <v>55</v>
      </c>
      <c r="B56" s="3" t="s">
        <v>77</v>
      </c>
      <c r="C56" s="3">
        <v>2024</v>
      </c>
      <c r="D56" s="3" t="s">
        <v>21</v>
      </c>
      <c r="E56" s="3" t="s">
        <v>33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5">
      <c r="A57" s="3">
        <v>56</v>
      </c>
      <c r="B57" s="3" t="s">
        <v>78</v>
      </c>
      <c r="C57" s="3">
        <v>2024</v>
      </c>
      <c r="D57" s="3" t="s">
        <v>21</v>
      </c>
      <c r="E57" s="3" t="s">
        <v>24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5">
      <c r="A58" s="3">
        <v>57</v>
      </c>
      <c r="B58" s="3" t="s">
        <v>79</v>
      </c>
      <c r="C58" s="3">
        <v>2023</v>
      </c>
      <c r="D58" s="3" t="s">
        <v>21</v>
      </c>
      <c r="E58" s="3" t="s">
        <v>22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5">
      <c r="A59" s="3">
        <v>58</v>
      </c>
      <c r="B59" s="3" t="s">
        <v>80</v>
      </c>
      <c r="C59" s="3">
        <v>2023</v>
      </c>
      <c r="D59" s="3" t="s">
        <v>21</v>
      </c>
      <c r="E59" s="3" t="s">
        <v>33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5">
      <c r="A60" s="3">
        <v>59</v>
      </c>
      <c r="B60" s="3" t="s">
        <v>81</v>
      </c>
      <c r="C60" s="3">
        <v>2024</v>
      </c>
      <c r="D60" s="3" t="s">
        <v>21</v>
      </c>
      <c r="E60" s="3" t="s">
        <v>24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5">
      <c r="A61" s="3">
        <v>60</v>
      </c>
      <c r="B61" s="3" t="s">
        <v>82</v>
      </c>
      <c r="C61" s="3">
        <v>2024</v>
      </c>
      <c r="D61" s="3" t="s">
        <v>21</v>
      </c>
      <c r="E61" s="3" t="s">
        <v>24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5">
      <c r="A62" s="3">
        <v>61</v>
      </c>
      <c r="B62" s="3" t="s">
        <v>83</v>
      </c>
      <c r="C62" s="3">
        <v>2024</v>
      </c>
      <c r="D62" s="3" t="s">
        <v>21</v>
      </c>
      <c r="E62" s="3" t="s">
        <v>22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5">
      <c r="A63" s="3">
        <v>62</v>
      </c>
      <c r="B63" s="3" t="s">
        <v>84</v>
      </c>
      <c r="C63" s="3">
        <v>2024</v>
      </c>
      <c r="D63" s="3" t="s">
        <v>21</v>
      </c>
      <c r="E63" s="3" t="s">
        <v>22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5">
      <c r="A64" s="3">
        <v>63</v>
      </c>
      <c r="B64" s="3" t="s">
        <v>85</v>
      </c>
      <c r="C64" s="3">
        <v>2024</v>
      </c>
      <c r="D64" s="3" t="s">
        <v>21</v>
      </c>
      <c r="E64" s="3" t="s">
        <v>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5">
      <c r="A65" s="3">
        <v>64</v>
      </c>
      <c r="B65" s="3" t="s">
        <v>86</v>
      </c>
      <c r="C65" s="3">
        <v>2024</v>
      </c>
      <c r="D65" s="3" t="s">
        <v>21</v>
      </c>
      <c r="E65" s="3" t="s">
        <v>24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5">
      <c r="A66" s="3">
        <v>65</v>
      </c>
      <c r="B66" s="3" t="s">
        <v>87</v>
      </c>
      <c r="C66" s="3">
        <v>2023</v>
      </c>
      <c r="D66" s="3" t="s">
        <v>21</v>
      </c>
      <c r="E66" s="3" t="s">
        <v>22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5">
      <c r="A67" s="3">
        <v>66</v>
      </c>
      <c r="B67" s="3" t="s">
        <v>88</v>
      </c>
      <c r="C67" s="3">
        <v>2024</v>
      </c>
      <c r="D67" s="3" t="s">
        <v>89</v>
      </c>
      <c r="E67" s="5" t="s">
        <v>33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5">
      <c r="A68" s="3">
        <v>67</v>
      </c>
      <c r="B68" s="3" t="s">
        <v>90</v>
      </c>
      <c r="C68" s="3">
        <v>2024</v>
      </c>
      <c r="D68" s="5" t="s">
        <v>89</v>
      </c>
      <c r="E68" s="5" t="s">
        <v>33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5">
      <c r="A69" s="3">
        <v>68</v>
      </c>
      <c r="B69" s="3" t="s">
        <v>91</v>
      </c>
      <c r="C69" s="3">
        <v>2024</v>
      </c>
      <c r="D69" s="5" t="s">
        <v>89</v>
      </c>
      <c r="E69" s="5" t="s">
        <v>33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5">
      <c r="A70" s="3">
        <v>69</v>
      </c>
      <c r="B70" s="3" t="s">
        <v>92</v>
      </c>
      <c r="C70" s="3">
        <v>2023</v>
      </c>
      <c r="D70" s="5" t="s">
        <v>89</v>
      </c>
      <c r="E70" s="5" t="s">
        <v>33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5">
      <c r="A71" s="3">
        <v>70</v>
      </c>
      <c r="B71" s="3" t="s">
        <v>93</v>
      </c>
      <c r="C71" s="3">
        <v>2023</v>
      </c>
      <c r="D71" s="5" t="s">
        <v>89</v>
      </c>
      <c r="E71" s="5" t="s">
        <v>33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5">
      <c r="A72" s="3">
        <v>71</v>
      </c>
      <c r="B72" s="3" t="s">
        <v>94</v>
      </c>
      <c r="C72" s="3">
        <v>2024</v>
      </c>
      <c r="D72" s="3" t="s">
        <v>95</v>
      </c>
      <c r="E72" s="3" t="s">
        <v>96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5">
      <c r="A73" s="3">
        <v>72</v>
      </c>
      <c r="B73" s="3" t="s">
        <v>97</v>
      </c>
      <c r="C73" s="3">
        <v>2024</v>
      </c>
      <c r="D73" s="3" t="s">
        <v>95</v>
      </c>
      <c r="E73" s="5" t="s">
        <v>33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5">
      <c r="A74" s="3">
        <v>73</v>
      </c>
      <c r="B74" s="3" t="s">
        <v>98</v>
      </c>
      <c r="C74" s="3">
        <v>2025</v>
      </c>
      <c r="D74" s="3" t="s">
        <v>95</v>
      </c>
      <c r="E74" s="5" t="s">
        <v>33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5">
      <c r="A75" s="3">
        <v>74</v>
      </c>
      <c r="B75" s="3" t="s">
        <v>99</v>
      </c>
      <c r="C75" s="3">
        <v>2020</v>
      </c>
      <c r="D75" s="3" t="s">
        <v>21</v>
      </c>
      <c r="E75" s="3" t="s">
        <v>33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5">
      <c r="A76" s="3">
        <v>75</v>
      </c>
      <c r="B76" s="3" t="s">
        <v>100</v>
      </c>
      <c r="C76" s="3">
        <v>2019</v>
      </c>
      <c r="D76" s="3" t="s">
        <v>21</v>
      </c>
      <c r="E76" s="3" t="s">
        <v>22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5">
      <c r="A77" s="3">
        <v>76</v>
      </c>
      <c r="B77" s="3" t="s">
        <v>101</v>
      </c>
      <c r="C77" s="3">
        <v>2019</v>
      </c>
      <c r="D77" s="3" t="s">
        <v>21</v>
      </c>
      <c r="E77" s="3" t="s">
        <v>22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5">
      <c r="A78" s="3">
        <v>77</v>
      </c>
      <c r="B78" s="3" t="s">
        <v>102</v>
      </c>
      <c r="C78" s="3">
        <v>2019</v>
      </c>
      <c r="D78" s="3" t="s">
        <v>21</v>
      </c>
      <c r="E78" s="3" t="s">
        <v>24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5">
      <c r="A79" s="3">
        <v>78</v>
      </c>
      <c r="B79" s="3" t="s">
        <v>103</v>
      </c>
      <c r="C79" s="3">
        <v>2020</v>
      </c>
      <c r="D79" s="3" t="s">
        <v>21</v>
      </c>
      <c r="E79" s="3" t="s">
        <v>24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5">
      <c r="A80" s="3">
        <v>79</v>
      </c>
      <c r="B80" s="3" t="s">
        <v>104</v>
      </c>
      <c r="C80" s="3">
        <v>2019</v>
      </c>
      <c r="D80" s="3" t="s">
        <v>21</v>
      </c>
      <c r="E80" s="3" t="s">
        <v>22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5">
      <c r="A81" s="3">
        <v>80</v>
      </c>
      <c r="B81" s="3" t="s">
        <v>105</v>
      </c>
      <c r="C81" s="3">
        <v>2019</v>
      </c>
      <c r="D81" s="3" t="s">
        <v>21</v>
      </c>
      <c r="E81" s="3" t="s">
        <v>24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5">
      <c r="A82" s="3">
        <v>81</v>
      </c>
      <c r="B82" s="3" t="s">
        <v>106</v>
      </c>
      <c r="C82" s="3">
        <v>2020</v>
      </c>
      <c r="D82" s="3" t="s">
        <v>21</v>
      </c>
      <c r="E82" s="3" t="s">
        <v>22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5">
      <c r="A83" s="3">
        <v>82</v>
      </c>
      <c r="B83" s="3" t="s">
        <v>107</v>
      </c>
      <c r="C83" s="3">
        <v>2021</v>
      </c>
      <c r="D83" s="3" t="s">
        <v>21</v>
      </c>
      <c r="E83" s="3" t="s">
        <v>33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5">
      <c r="A84" s="3">
        <v>83</v>
      </c>
      <c r="B84" s="3" t="s">
        <v>108</v>
      </c>
      <c r="C84" s="3">
        <v>2022</v>
      </c>
      <c r="D84" s="3" t="s">
        <v>21</v>
      </c>
      <c r="E84" s="3" t="s">
        <v>24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5">
      <c r="A85" s="3">
        <v>84</v>
      </c>
      <c r="B85" s="3" t="s">
        <v>109</v>
      </c>
      <c r="C85" s="3">
        <v>2023</v>
      </c>
      <c r="D85" s="3" t="s">
        <v>21</v>
      </c>
      <c r="E85" s="3" t="s">
        <v>24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5">
      <c r="A86" s="3">
        <v>85</v>
      </c>
      <c r="B86" s="3" t="s">
        <v>110</v>
      </c>
      <c r="C86" s="3">
        <v>2022</v>
      </c>
      <c r="D86" s="3" t="s">
        <v>21</v>
      </c>
      <c r="E86" s="3" t="s">
        <v>24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5">
      <c r="A87" s="3">
        <v>86</v>
      </c>
      <c r="B87" s="3" t="s">
        <v>111</v>
      </c>
      <c r="C87" s="3">
        <v>2022</v>
      </c>
      <c r="D87" s="3" t="s">
        <v>21</v>
      </c>
      <c r="E87" s="3" t="s">
        <v>24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5">
      <c r="A88" s="3">
        <v>87</v>
      </c>
      <c r="B88" s="3" t="s">
        <v>112</v>
      </c>
      <c r="C88" s="3">
        <v>2021</v>
      </c>
      <c r="D88" s="3" t="s">
        <v>21</v>
      </c>
      <c r="E88" s="3" t="s">
        <v>22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5">
      <c r="A89" s="3">
        <v>88</v>
      </c>
      <c r="B89" s="3" t="s">
        <v>113</v>
      </c>
      <c r="C89" s="3">
        <v>2021</v>
      </c>
      <c r="D89" s="3" t="s">
        <v>21</v>
      </c>
      <c r="E89" s="3" t="s">
        <v>22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5">
      <c r="A90" s="3">
        <v>89</v>
      </c>
      <c r="B90" s="3" t="s">
        <v>114</v>
      </c>
      <c r="C90" s="3">
        <v>2021</v>
      </c>
      <c r="D90" s="3" t="s">
        <v>21</v>
      </c>
      <c r="E90" s="3" t="s">
        <v>33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5">
      <c r="A91" s="3">
        <v>90</v>
      </c>
      <c r="B91" s="3" t="s">
        <v>115</v>
      </c>
      <c r="C91" s="3">
        <v>2022</v>
      </c>
      <c r="D91" s="3" t="s">
        <v>21</v>
      </c>
      <c r="E91" s="3" t="s">
        <v>33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5">
      <c r="A92" s="3">
        <v>91</v>
      </c>
      <c r="B92" s="3" t="s">
        <v>116</v>
      </c>
      <c r="C92" s="3">
        <v>2022</v>
      </c>
      <c r="D92" s="3" t="s">
        <v>21</v>
      </c>
      <c r="E92" s="3" t="s">
        <v>22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5">
      <c r="A93" s="3">
        <v>92</v>
      </c>
      <c r="B93" s="3" t="s">
        <v>117</v>
      </c>
      <c r="C93" s="3">
        <v>2021</v>
      </c>
      <c r="D93" s="3" t="s">
        <v>21</v>
      </c>
      <c r="E93" s="3" t="s">
        <v>24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5">
      <c r="A94" s="3">
        <v>93</v>
      </c>
      <c r="B94" s="3" t="s">
        <v>118</v>
      </c>
      <c r="C94" s="3">
        <v>2022</v>
      </c>
      <c r="D94" s="3" t="s">
        <v>21</v>
      </c>
      <c r="E94" s="3" t="s">
        <v>33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5">
      <c r="A95" s="3">
        <v>94</v>
      </c>
      <c r="B95" s="3" t="s">
        <v>119</v>
      </c>
      <c r="C95" s="3">
        <v>2022</v>
      </c>
      <c r="D95" s="3" t="s">
        <v>21</v>
      </c>
      <c r="E95" s="3" t="s">
        <v>33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5">
      <c r="A96" s="3">
        <v>95</v>
      </c>
      <c r="B96" s="3" t="s">
        <v>120</v>
      </c>
      <c r="C96" s="3">
        <v>2024</v>
      </c>
      <c r="D96" s="3" t="s">
        <v>21</v>
      </c>
      <c r="E96" s="3" t="s">
        <v>22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5">
      <c r="A97" s="3">
        <v>96</v>
      </c>
      <c r="B97" s="3" t="s">
        <v>121</v>
      </c>
      <c r="C97" s="3">
        <v>2020</v>
      </c>
      <c r="D97" s="3" t="s">
        <v>21</v>
      </c>
      <c r="E97" s="3" t="s">
        <v>22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5">
      <c r="A98" s="3">
        <v>97</v>
      </c>
      <c r="B98" s="3" t="s">
        <v>122</v>
      </c>
      <c r="C98" s="3">
        <v>2020</v>
      </c>
      <c r="D98" s="3" t="s">
        <v>21</v>
      </c>
      <c r="E98" s="3" t="s">
        <v>24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5">
      <c r="A99" s="3">
        <v>98</v>
      </c>
      <c r="B99" s="3" t="s">
        <v>123</v>
      </c>
      <c r="C99" s="3">
        <v>2020</v>
      </c>
      <c r="D99" s="3" t="s">
        <v>21</v>
      </c>
      <c r="E99" s="3" t="s">
        <v>24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5">
      <c r="A100" s="3">
        <v>99</v>
      </c>
      <c r="B100" s="3" t="s">
        <v>124</v>
      </c>
      <c r="C100" s="3">
        <v>2020</v>
      </c>
      <c r="D100" s="3" t="s">
        <v>21</v>
      </c>
      <c r="E100" s="3" t="s">
        <v>22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5">
      <c r="A101" s="3">
        <v>100</v>
      </c>
      <c r="B101" s="3" t="s">
        <v>125</v>
      </c>
      <c r="C101" s="3">
        <v>2020</v>
      </c>
      <c r="D101" s="3" t="s">
        <v>21</v>
      </c>
      <c r="E101" s="3" t="s">
        <v>24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5">
      <c r="A102" s="3">
        <v>101</v>
      </c>
      <c r="B102" s="3" t="s">
        <v>126</v>
      </c>
      <c r="C102" s="3">
        <v>2022</v>
      </c>
      <c r="D102" s="3" t="s">
        <v>21</v>
      </c>
      <c r="E102" s="3" t="s">
        <v>33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5">
      <c r="A103" s="3">
        <v>102</v>
      </c>
      <c r="B103" s="3" t="s">
        <v>127</v>
      </c>
      <c r="C103" s="3">
        <v>2021</v>
      </c>
      <c r="D103" s="3" t="s">
        <v>21</v>
      </c>
      <c r="E103" s="3" t="s">
        <v>24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5">
      <c r="A104" s="3">
        <v>103</v>
      </c>
      <c r="B104" s="3" t="s">
        <v>128</v>
      </c>
      <c r="C104" s="3">
        <v>2022</v>
      </c>
      <c r="D104" s="3" t="s">
        <v>21</v>
      </c>
      <c r="E104" s="3" t="s">
        <v>33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5">
      <c r="A105" s="3">
        <v>104</v>
      </c>
      <c r="B105" s="3" t="s">
        <v>129</v>
      </c>
      <c r="C105" s="3">
        <v>2022</v>
      </c>
      <c r="D105" s="3" t="s">
        <v>21</v>
      </c>
      <c r="E105" s="3" t="s">
        <v>24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5">
      <c r="A106" s="3">
        <v>105</v>
      </c>
      <c r="B106" s="3" t="s">
        <v>130</v>
      </c>
      <c r="C106" s="3">
        <v>2020</v>
      </c>
      <c r="D106" s="3" t="s">
        <v>21</v>
      </c>
      <c r="E106" s="3" t="s">
        <v>33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5">
      <c r="A107" s="3">
        <v>106</v>
      </c>
      <c r="B107" s="3" t="s">
        <v>131</v>
      </c>
      <c r="C107" s="3">
        <v>2020</v>
      </c>
      <c r="D107" s="3" t="s">
        <v>21</v>
      </c>
      <c r="E107" s="3" t="s">
        <v>24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5">
      <c r="A108" s="3">
        <v>107</v>
      </c>
      <c r="B108" s="3" t="s">
        <v>132</v>
      </c>
      <c r="C108" s="3">
        <v>2020</v>
      </c>
      <c r="D108" s="3" t="s">
        <v>21</v>
      </c>
      <c r="E108" s="3" t="s">
        <v>24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5">
      <c r="A109" s="3">
        <v>108</v>
      </c>
      <c r="B109" s="3" t="s">
        <v>133</v>
      </c>
      <c r="C109" s="3">
        <v>2019</v>
      </c>
      <c r="D109" s="3" t="s">
        <v>21</v>
      </c>
      <c r="E109" s="3" t="s">
        <v>24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5">
      <c r="A110" s="3">
        <v>109</v>
      </c>
      <c r="B110" s="3" t="s">
        <v>134</v>
      </c>
      <c r="C110" s="3">
        <v>2019</v>
      </c>
      <c r="D110" s="3" t="s">
        <v>21</v>
      </c>
      <c r="E110" s="3" t="s">
        <v>33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5">
      <c r="A111" s="3">
        <v>110</v>
      </c>
      <c r="B111" s="3" t="s">
        <v>135</v>
      </c>
      <c r="C111" s="3">
        <v>2020</v>
      </c>
      <c r="D111" s="3" t="s">
        <v>21</v>
      </c>
      <c r="E111" s="3" t="s">
        <v>33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5">
      <c r="A112" s="3">
        <v>111</v>
      </c>
      <c r="B112" s="3" t="s">
        <v>136</v>
      </c>
      <c r="C112" s="3">
        <v>2019</v>
      </c>
      <c r="D112" s="3" t="s">
        <v>21</v>
      </c>
      <c r="E112" s="3" t="s">
        <v>22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5">
      <c r="A113" s="3">
        <v>112</v>
      </c>
      <c r="B113" s="3" t="s">
        <v>137</v>
      </c>
      <c r="C113" s="3">
        <v>2025</v>
      </c>
      <c r="D113" s="3" t="s">
        <v>21</v>
      </c>
      <c r="E113" s="3" t="s">
        <v>24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5">
      <c r="A114" s="3">
        <v>113</v>
      </c>
      <c r="B114" s="3" t="s">
        <v>138</v>
      </c>
      <c r="C114" s="3">
        <v>2025</v>
      </c>
      <c r="D114" s="3" t="s">
        <v>21</v>
      </c>
      <c r="E114" s="3" t="s">
        <v>33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5">
      <c r="A115" s="3">
        <v>114</v>
      </c>
      <c r="B115" s="3" t="s">
        <v>139</v>
      </c>
      <c r="C115" s="3">
        <v>2025</v>
      </c>
      <c r="D115" s="3" t="s">
        <v>21</v>
      </c>
      <c r="E115" s="3" t="s">
        <v>24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5">
      <c r="A116" s="3">
        <v>115</v>
      </c>
      <c r="B116" s="3" t="s">
        <v>140</v>
      </c>
      <c r="C116" s="3">
        <v>2025</v>
      </c>
      <c r="D116" s="3" t="s">
        <v>21</v>
      </c>
      <c r="E116" s="3" t="s">
        <v>22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5">
      <c r="A117" s="3">
        <v>116</v>
      </c>
      <c r="B117" s="3" t="s">
        <v>141</v>
      </c>
      <c r="C117" s="3">
        <v>2025</v>
      </c>
      <c r="D117" s="3" t="s">
        <v>21</v>
      </c>
      <c r="E117" s="3" t="s">
        <v>24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5">
      <c r="A118" s="3">
        <v>117</v>
      </c>
      <c r="B118" s="3" t="s">
        <v>142</v>
      </c>
      <c r="C118" s="3">
        <v>2025</v>
      </c>
      <c r="D118" s="3" t="s">
        <v>21</v>
      </c>
      <c r="E118" s="3" t="s">
        <v>33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5">
      <c r="A119" s="3">
        <v>118</v>
      </c>
      <c r="B119" s="3" t="s">
        <v>143</v>
      </c>
      <c r="C119" s="3">
        <v>2025</v>
      </c>
      <c r="D119" s="3" t="s">
        <v>21</v>
      </c>
      <c r="E119" s="3" t="s">
        <v>22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customHeight="1" x14ac:dyDescent="0.25">
      <c r="A120" s="3">
        <v>119</v>
      </c>
      <c r="B120" s="3" t="s">
        <v>144</v>
      </c>
      <c r="C120" s="3">
        <v>2025</v>
      </c>
      <c r="D120" s="3" t="s">
        <v>21</v>
      </c>
      <c r="E120" s="3" t="s">
        <v>33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" customHeight="1" x14ac:dyDescent="0.25">
      <c r="A121" s="3">
        <v>120</v>
      </c>
      <c r="B121" s="3" t="s">
        <v>145</v>
      </c>
      <c r="C121" s="3">
        <v>2025</v>
      </c>
      <c r="D121" s="3" t="s">
        <v>21</v>
      </c>
      <c r="E121" s="3" t="s">
        <v>24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" customHeight="1" x14ac:dyDescent="0.25">
      <c r="A122" s="3">
        <v>121</v>
      </c>
      <c r="B122" s="3" t="s">
        <v>146</v>
      </c>
      <c r="C122" s="3">
        <v>2025</v>
      </c>
      <c r="D122" s="3" t="s">
        <v>21</v>
      </c>
      <c r="E122" s="3" t="s">
        <v>24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50"/>
  <sheetViews>
    <sheetView topLeftCell="A102" workbookViewId="0"/>
  </sheetViews>
  <sheetFormatPr defaultRowHeight="15" x14ac:dyDescent="0.25"/>
  <cols>
    <col min="1" max="1" width="6.28515625" customWidth="1"/>
    <col min="2" max="2" width="28" customWidth="1"/>
    <col min="3" max="3" width="10.140625" customWidth="1"/>
    <col min="4" max="4" width="21" customWidth="1"/>
    <col min="5" max="5" width="10.5703125" customWidth="1"/>
    <col min="6" max="6" width="12.85546875" customWidth="1"/>
    <col min="7" max="7" width="16.5703125" customWidth="1"/>
    <col min="8" max="8" width="18.42578125" customWidth="1"/>
    <col min="9" max="9" width="22.7109375" customWidth="1"/>
    <col min="10" max="10" width="20" customWidth="1"/>
    <col min="11" max="11" width="21.140625" customWidth="1"/>
    <col min="12" max="12" width="14" customWidth="1"/>
    <col min="13" max="13" width="20.5703125" customWidth="1"/>
    <col min="14" max="15" width="16" customWidth="1"/>
    <col min="16" max="16" width="19.28515625" customWidth="1"/>
    <col min="17" max="17" width="41.42578125" customWidth="1"/>
    <col min="18" max="18" width="23.140625" customWidth="1"/>
    <col min="19" max="19" width="13.28515625" customWidth="1"/>
    <col min="20" max="20" width="24" customWidth="1"/>
  </cols>
  <sheetData>
    <row r="1" spans="1:30" ht="15" customHeight="1" x14ac:dyDescent="0.25">
      <c r="A1" s="2" t="s">
        <v>14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  <c r="J1" s="2" t="s">
        <v>155</v>
      </c>
      <c r="K1" s="2" t="s">
        <v>156</v>
      </c>
      <c r="L1" s="2" t="s">
        <v>157</v>
      </c>
      <c r="M1" s="2" t="s">
        <v>158</v>
      </c>
      <c r="N1" s="2" t="s">
        <v>159</v>
      </c>
      <c r="O1" s="2" t="s">
        <v>160</v>
      </c>
      <c r="P1" s="2" t="s">
        <v>161</v>
      </c>
      <c r="Q1" s="2" t="s">
        <v>162</v>
      </c>
      <c r="R1" s="2" t="s">
        <v>163</v>
      </c>
      <c r="S1" s="2" t="s">
        <v>164</v>
      </c>
      <c r="T1" s="2" t="s">
        <v>165</v>
      </c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 customHeight="1" x14ac:dyDescent="0.25">
      <c r="A2" s="3">
        <v>1</v>
      </c>
      <c r="B2" s="3" t="s">
        <v>20</v>
      </c>
      <c r="C2" s="3">
        <v>2019</v>
      </c>
      <c r="D2" s="3" t="s">
        <v>22</v>
      </c>
      <c r="E2" s="3">
        <v>1</v>
      </c>
      <c r="F2" s="3">
        <v>1</v>
      </c>
      <c r="G2" s="3">
        <v>1</v>
      </c>
      <c r="H2" s="3">
        <v>0</v>
      </c>
      <c r="I2" s="3">
        <v>1</v>
      </c>
      <c r="J2" s="3">
        <v>0</v>
      </c>
      <c r="K2" s="3">
        <v>1</v>
      </c>
      <c r="L2" s="3">
        <f t="shared" ref="L2:L33" si="0">AVERAGE(E2:K2)</f>
        <v>0.7142857142857143</v>
      </c>
      <c r="M2" s="3">
        <v>1</v>
      </c>
      <c r="N2" s="3">
        <v>0</v>
      </c>
      <c r="O2" s="3">
        <v>0.25</v>
      </c>
      <c r="P2" s="3">
        <v>1</v>
      </c>
      <c r="Q2" s="3">
        <v>0.25</v>
      </c>
      <c r="R2" s="3">
        <f t="shared" ref="R2:R33" si="1">AVERAGE(1-M2,1-N2,1-O2,1-P2,1-Q2)</f>
        <v>0.5</v>
      </c>
      <c r="S2" s="3">
        <f t="shared" ref="S2:S33" si="2">AVERAGE(E2,F2,G2,I2)</f>
        <v>1</v>
      </c>
      <c r="T2" s="3" t="s">
        <v>166</v>
      </c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s="3">
        <v>2</v>
      </c>
      <c r="B3" s="3" t="s">
        <v>23</v>
      </c>
      <c r="C3" s="3">
        <v>2022</v>
      </c>
      <c r="D3" s="3" t="s">
        <v>24</v>
      </c>
      <c r="E3" s="3">
        <v>0</v>
      </c>
      <c r="F3" s="3">
        <v>1</v>
      </c>
      <c r="G3" s="3">
        <v>1</v>
      </c>
      <c r="H3" s="3">
        <v>0</v>
      </c>
      <c r="I3" s="3">
        <v>1</v>
      </c>
      <c r="J3" s="3">
        <v>1</v>
      </c>
      <c r="K3" s="3">
        <v>1</v>
      </c>
      <c r="L3" s="3">
        <f t="shared" si="0"/>
        <v>0.7142857142857143</v>
      </c>
      <c r="M3" s="3">
        <v>0.75</v>
      </c>
      <c r="N3" s="3">
        <v>1</v>
      </c>
      <c r="O3" s="3">
        <v>0.75</v>
      </c>
      <c r="P3" s="3">
        <v>1</v>
      </c>
      <c r="Q3" s="3">
        <v>0</v>
      </c>
      <c r="R3" s="3">
        <f t="shared" si="1"/>
        <v>0.3</v>
      </c>
      <c r="S3" s="3">
        <f t="shared" si="2"/>
        <v>0.75</v>
      </c>
      <c r="T3" s="3" t="s">
        <v>166</v>
      </c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s="3">
        <v>3</v>
      </c>
      <c r="B4" s="3" t="s">
        <v>25</v>
      </c>
      <c r="C4" s="3">
        <v>2023</v>
      </c>
      <c r="D4" s="3" t="s">
        <v>22</v>
      </c>
      <c r="E4" s="3">
        <v>1</v>
      </c>
      <c r="F4" s="3">
        <v>1</v>
      </c>
      <c r="G4" s="3">
        <v>1</v>
      </c>
      <c r="H4" s="3">
        <v>0</v>
      </c>
      <c r="I4" s="3">
        <v>1</v>
      </c>
      <c r="J4" s="3">
        <v>1</v>
      </c>
      <c r="K4" s="3">
        <v>1</v>
      </c>
      <c r="L4" s="3">
        <f t="shared" si="0"/>
        <v>0.8571428571428571</v>
      </c>
      <c r="M4" s="3">
        <v>0.75</v>
      </c>
      <c r="N4" s="3">
        <v>0</v>
      </c>
      <c r="O4" s="3">
        <v>0</v>
      </c>
      <c r="P4" s="3">
        <v>0.5</v>
      </c>
      <c r="Q4" s="3">
        <v>0.5</v>
      </c>
      <c r="R4" s="3">
        <f t="shared" si="1"/>
        <v>0.65</v>
      </c>
      <c r="S4" s="3">
        <f t="shared" si="2"/>
        <v>1</v>
      </c>
      <c r="T4" s="3" t="s">
        <v>166</v>
      </c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">
        <v>4</v>
      </c>
      <c r="B5" s="3" t="s">
        <v>26</v>
      </c>
      <c r="C5" s="3">
        <v>2023</v>
      </c>
      <c r="D5" s="3" t="s">
        <v>22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f t="shared" si="0"/>
        <v>1</v>
      </c>
      <c r="M5" s="3">
        <v>1</v>
      </c>
      <c r="N5" s="3">
        <v>1</v>
      </c>
      <c r="O5" s="3">
        <v>0.75</v>
      </c>
      <c r="P5" s="3">
        <v>1</v>
      </c>
      <c r="Q5" s="3">
        <v>1</v>
      </c>
      <c r="R5" s="3">
        <f t="shared" si="1"/>
        <v>0.05</v>
      </c>
      <c r="S5" s="3">
        <f t="shared" si="2"/>
        <v>1</v>
      </c>
      <c r="T5" s="3" t="s">
        <v>166</v>
      </c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" customHeight="1" x14ac:dyDescent="0.25">
      <c r="A6" s="3">
        <v>5</v>
      </c>
      <c r="B6" s="3" t="s">
        <v>27</v>
      </c>
      <c r="C6" s="3">
        <v>2023</v>
      </c>
      <c r="D6" s="3" t="s">
        <v>22</v>
      </c>
      <c r="E6" s="3">
        <v>1</v>
      </c>
      <c r="F6" s="3">
        <v>1</v>
      </c>
      <c r="G6" s="3">
        <v>1</v>
      </c>
      <c r="H6" s="3">
        <v>1</v>
      </c>
      <c r="I6" s="3">
        <v>0</v>
      </c>
      <c r="J6" s="3">
        <v>1</v>
      </c>
      <c r="K6" s="3">
        <v>1</v>
      </c>
      <c r="L6" s="3">
        <f t="shared" si="0"/>
        <v>0.8571428571428571</v>
      </c>
      <c r="M6" s="3">
        <v>0</v>
      </c>
      <c r="N6" s="3">
        <v>0.25</v>
      </c>
      <c r="O6" s="3">
        <v>0.5</v>
      </c>
      <c r="P6" s="3">
        <v>0.5</v>
      </c>
      <c r="Q6" s="3">
        <v>1</v>
      </c>
      <c r="R6" s="3">
        <f t="shared" si="1"/>
        <v>0.55000000000000004</v>
      </c>
      <c r="S6" s="3">
        <f t="shared" si="2"/>
        <v>0.75</v>
      </c>
      <c r="T6" s="3" t="s">
        <v>166</v>
      </c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" customHeight="1" x14ac:dyDescent="0.25">
      <c r="A7" s="3">
        <v>6</v>
      </c>
      <c r="B7" s="3" t="s">
        <v>28</v>
      </c>
      <c r="C7" s="3">
        <v>2024</v>
      </c>
      <c r="D7" s="3" t="s">
        <v>22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0</v>
      </c>
      <c r="K7" s="3">
        <v>1</v>
      </c>
      <c r="L7" s="3">
        <f t="shared" si="0"/>
        <v>0.8571428571428571</v>
      </c>
      <c r="M7" s="3">
        <v>0</v>
      </c>
      <c r="N7" s="3">
        <v>0.25</v>
      </c>
      <c r="O7" s="3">
        <v>0</v>
      </c>
      <c r="P7" s="3">
        <v>0</v>
      </c>
      <c r="Q7" s="3">
        <v>1</v>
      </c>
      <c r="R7" s="3">
        <f t="shared" si="1"/>
        <v>0.75</v>
      </c>
      <c r="S7" s="3">
        <f t="shared" si="2"/>
        <v>1</v>
      </c>
      <c r="T7" s="3" t="s">
        <v>166</v>
      </c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 customHeight="1" x14ac:dyDescent="0.25">
      <c r="A8" s="3">
        <v>7</v>
      </c>
      <c r="B8" s="3" t="s">
        <v>29</v>
      </c>
      <c r="C8" s="3">
        <v>2024</v>
      </c>
      <c r="D8" s="3" t="s">
        <v>22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f t="shared" si="0"/>
        <v>0.7142857142857143</v>
      </c>
      <c r="M8" s="3">
        <v>0.5</v>
      </c>
      <c r="N8" s="3">
        <v>0.5</v>
      </c>
      <c r="O8" s="3">
        <v>0.5</v>
      </c>
      <c r="P8" s="3">
        <v>0</v>
      </c>
      <c r="Q8" s="3">
        <v>0.75</v>
      </c>
      <c r="R8" s="3">
        <f t="shared" si="1"/>
        <v>0.55000000000000004</v>
      </c>
      <c r="S8" s="3">
        <f t="shared" si="2"/>
        <v>1</v>
      </c>
      <c r="T8" s="3" t="s">
        <v>166</v>
      </c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" customHeight="1" x14ac:dyDescent="0.25">
      <c r="A9" s="3">
        <v>8</v>
      </c>
      <c r="B9" s="3" t="s">
        <v>30</v>
      </c>
      <c r="C9" s="3">
        <v>2024</v>
      </c>
      <c r="D9" s="3" t="s">
        <v>22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0</v>
      </c>
      <c r="K9" s="3">
        <v>1</v>
      </c>
      <c r="L9" s="3">
        <f t="shared" si="0"/>
        <v>0.7142857142857143</v>
      </c>
      <c r="M9" s="3">
        <v>0.75</v>
      </c>
      <c r="N9" s="3">
        <v>1</v>
      </c>
      <c r="O9" s="3">
        <v>0.75</v>
      </c>
      <c r="P9" s="3">
        <v>0</v>
      </c>
      <c r="Q9" s="3">
        <v>0</v>
      </c>
      <c r="R9" s="3">
        <f t="shared" si="1"/>
        <v>0.5</v>
      </c>
      <c r="S9" s="3">
        <f t="shared" si="2"/>
        <v>0.75</v>
      </c>
      <c r="T9" s="3" t="s">
        <v>166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 x14ac:dyDescent="0.25">
      <c r="A10" s="3">
        <v>9</v>
      </c>
      <c r="B10" s="3" t="s">
        <v>31</v>
      </c>
      <c r="C10" s="3">
        <v>2024</v>
      </c>
      <c r="D10" s="3" t="s">
        <v>22</v>
      </c>
      <c r="E10" s="3">
        <v>0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0</v>
      </c>
      <c r="L10" s="3">
        <f t="shared" si="0"/>
        <v>0.7142857142857143</v>
      </c>
      <c r="M10" s="3">
        <v>0.25</v>
      </c>
      <c r="N10" s="3">
        <v>0.75</v>
      </c>
      <c r="O10" s="3">
        <v>0</v>
      </c>
      <c r="P10" s="3">
        <v>1</v>
      </c>
      <c r="Q10" s="3">
        <v>0.75</v>
      </c>
      <c r="R10" s="3">
        <f t="shared" si="1"/>
        <v>0.45</v>
      </c>
      <c r="S10" s="3">
        <f t="shared" si="2"/>
        <v>0.75</v>
      </c>
      <c r="T10" s="3" t="s">
        <v>166</v>
      </c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" customHeight="1" x14ac:dyDescent="0.25">
      <c r="A11" s="3">
        <v>10</v>
      </c>
      <c r="B11" s="3" t="s">
        <v>32</v>
      </c>
      <c r="C11" s="3">
        <v>2025</v>
      </c>
      <c r="D11" s="3" t="s">
        <v>33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f t="shared" si="0"/>
        <v>0.2857142857142857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f t="shared" si="1"/>
        <v>1</v>
      </c>
      <c r="S11" s="3">
        <f t="shared" si="2"/>
        <v>0</v>
      </c>
      <c r="T11" s="3" t="s">
        <v>166</v>
      </c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" customHeight="1" x14ac:dyDescent="0.25">
      <c r="A12" s="3">
        <v>11</v>
      </c>
      <c r="B12" s="3" t="s">
        <v>34</v>
      </c>
      <c r="C12" s="3">
        <v>2025</v>
      </c>
      <c r="D12" s="3" t="s">
        <v>22</v>
      </c>
      <c r="E12" s="3">
        <v>1</v>
      </c>
      <c r="F12" s="3">
        <v>1</v>
      </c>
      <c r="G12" s="3">
        <v>1</v>
      </c>
      <c r="H12" s="3">
        <v>0</v>
      </c>
      <c r="I12" s="3">
        <v>1</v>
      </c>
      <c r="J12" s="3">
        <v>1</v>
      </c>
      <c r="K12" s="3">
        <v>1</v>
      </c>
      <c r="L12" s="3">
        <f t="shared" si="0"/>
        <v>0.8571428571428571</v>
      </c>
      <c r="M12" s="3">
        <v>0.5</v>
      </c>
      <c r="N12" s="3">
        <v>0</v>
      </c>
      <c r="O12" s="3">
        <v>0.5</v>
      </c>
      <c r="P12" s="3">
        <v>0.5</v>
      </c>
      <c r="Q12" s="3">
        <v>1</v>
      </c>
      <c r="R12" s="3">
        <f t="shared" si="1"/>
        <v>0.5</v>
      </c>
      <c r="S12" s="3">
        <f t="shared" si="2"/>
        <v>1</v>
      </c>
      <c r="T12" s="3" t="s">
        <v>166</v>
      </c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" customHeight="1" x14ac:dyDescent="0.25">
      <c r="A13" s="3">
        <v>12</v>
      </c>
      <c r="B13" s="3" t="s">
        <v>35</v>
      </c>
      <c r="C13" s="3">
        <v>2025</v>
      </c>
      <c r="D13" s="3" t="s">
        <v>24</v>
      </c>
      <c r="E13" s="3">
        <v>0</v>
      </c>
      <c r="F13" s="3">
        <v>1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f t="shared" si="0"/>
        <v>0.2857142857142857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f t="shared" si="1"/>
        <v>1</v>
      </c>
      <c r="S13" s="3">
        <f t="shared" si="2"/>
        <v>0.25</v>
      </c>
      <c r="T13" s="3" t="s">
        <v>166</v>
      </c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" customHeight="1" x14ac:dyDescent="0.25">
      <c r="A14" s="3">
        <v>13</v>
      </c>
      <c r="B14" s="3" t="s">
        <v>36</v>
      </c>
      <c r="C14" s="3">
        <v>2025</v>
      </c>
      <c r="D14" s="3" t="s">
        <v>22</v>
      </c>
      <c r="E14" s="3">
        <v>0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f t="shared" si="0"/>
        <v>0.8571428571428571</v>
      </c>
      <c r="M14" s="3">
        <v>0.25</v>
      </c>
      <c r="N14" s="3">
        <v>0</v>
      </c>
      <c r="O14" s="3">
        <v>0.75</v>
      </c>
      <c r="P14" s="3">
        <v>0.75</v>
      </c>
      <c r="Q14" s="3">
        <v>0.5</v>
      </c>
      <c r="R14" s="3">
        <f t="shared" si="1"/>
        <v>0.55000000000000004</v>
      </c>
      <c r="S14" s="3">
        <f t="shared" si="2"/>
        <v>0.75</v>
      </c>
      <c r="T14" s="3" t="s">
        <v>166</v>
      </c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5">
      <c r="A15" s="3">
        <v>14</v>
      </c>
      <c r="B15" s="3" t="s">
        <v>37</v>
      </c>
      <c r="C15" s="3">
        <v>2025</v>
      </c>
      <c r="D15" s="3" t="s">
        <v>33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3">
        <f t="shared" si="0"/>
        <v>0.14285714285714285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f t="shared" si="1"/>
        <v>1</v>
      </c>
      <c r="S15" s="3">
        <f t="shared" si="2"/>
        <v>0.25</v>
      </c>
      <c r="T15" s="3" t="s">
        <v>166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5">
      <c r="A16" s="3">
        <v>15</v>
      </c>
      <c r="B16" s="3" t="s">
        <v>38</v>
      </c>
      <c r="C16" s="3">
        <v>2023</v>
      </c>
      <c r="D16" s="3" t="s">
        <v>33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f t="shared" si="0"/>
        <v>0.14285714285714285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f t="shared" si="1"/>
        <v>1</v>
      </c>
      <c r="S16" s="3">
        <f t="shared" si="2"/>
        <v>0</v>
      </c>
      <c r="T16" s="3" t="s">
        <v>166</v>
      </c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5">
      <c r="A17" s="3">
        <v>16</v>
      </c>
      <c r="B17" s="3" t="s">
        <v>39</v>
      </c>
      <c r="C17" s="3">
        <v>2023</v>
      </c>
      <c r="D17" s="3" t="s">
        <v>22</v>
      </c>
      <c r="E17" s="3">
        <v>1</v>
      </c>
      <c r="F17" s="3">
        <v>1</v>
      </c>
      <c r="G17" s="3">
        <v>0</v>
      </c>
      <c r="H17" s="3">
        <v>1</v>
      </c>
      <c r="I17" s="3">
        <v>1</v>
      </c>
      <c r="J17" s="3">
        <v>1</v>
      </c>
      <c r="K17" s="3">
        <v>1</v>
      </c>
      <c r="L17" s="3">
        <f t="shared" si="0"/>
        <v>0.8571428571428571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f t="shared" si="1"/>
        <v>1</v>
      </c>
      <c r="S17" s="3">
        <f t="shared" si="2"/>
        <v>0.75</v>
      </c>
      <c r="T17" s="3" t="s">
        <v>166</v>
      </c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5">
      <c r="A18" s="3">
        <v>17</v>
      </c>
      <c r="B18" s="3" t="s">
        <v>40</v>
      </c>
      <c r="C18" s="3">
        <v>2023</v>
      </c>
      <c r="D18" s="3" t="s">
        <v>33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0</v>
      </c>
      <c r="K18" s="3">
        <v>1</v>
      </c>
      <c r="L18" s="3">
        <f t="shared" si="0"/>
        <v>0.42857142857142855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f t="shared" si="1"/>
        <v>1</v>
      </c>
      <c r="S18" s="3">
        <f t="shared" si="2"/>
        <v>0.25</v>
      </c>
      <c r="T18" s="3" t="s">
        <v>166</v>
      </c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5">
      <c r="A19" s="3">
        <v>18</v>
      </c>
      <c r="B19" s="3" t="s">
        <v>41</v>
      </c>
      <c r="C19" s="3">
        <v>2023</v>
      </c>
      <c r="D19" s="3" t="s">
        <v>33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f t="shared" si="0"/>
        <v>0.14285714285714285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f t="shared" si="1"/>
        <v>1</v>
      </c>
      <c r="S19" s="3">
        <f t="shared" si="2"/>
        <v>0</v>
      </c>
      <c r="T19" s="3" t="s">
        <v>166</v>
      </c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5">
      <c r="A20" s="3">
        <v>19</v>
      </c>
      <c r="B20" s="3" t="s">
        <v>42</v>
      </c>
      <c r="C20" s="3">
        <v>2019</v>
      </c>
      <c r="D20" s="3" t="s">
        <v>22</v>
      </c>
      <c r="E20" s="3">
        <v>1</v>
      </c>
      <c r="F20" s="3">
        <v>1</v>
      </c>
      <c r="G20" s="3">
        <v>1</v>
      </c>
      <c r="H20" s="3">
        <v>1</v>
      </c>
      <c r="I20" s="3">
        <v>0</v>
      </c>
      <c r="J20" s="3">
        <v>1</v>
      </c>
      <c r="K20" s="3">
        <v>1</v>
      </c>
      <c r="L20" s="3">
        <f t="shared" si="0"/>
        <v>0.8571428571428571</v>
      </c>
      <c r="M20" s="3">
        <v>0</v>
      </c>
      <c r="N20" s="3">
        <v>1</v>
      </c>
      <c r="O20" s="3">
        <v>0.25</v>
      </c>
      <c r="P20" s="3">
        <v>0.75</v>
      </c>
      <c r="Q20" s="3">
        <v>0.5</v>
      </c>
      <c r="R20" s="3">
        <f t="shared" si="1"/>
        <v>0.5</v>
      </c>
      <c r="S20" s="3">
        <f t="shared" si="2"/>
        <v>0.75</v>
      </c>
      <c r="T20" s="3" t="s">
        <v>166</v>
      </c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5">
      <c r="A21" s="3">
        <v>20</v>
      </c>
      <c r="B21" s="3" t="s">
        <v>43</v>
      </c>
      <c r="C21" s="3">
        <v>2019</v>
      </c>
      <c r="D21" s="3" t="s">
        <v>24</v>
      </c>
      <c r="E21" s="3">
        <v>1</v>
      </c>
      <c r="F21" s="3">
        <v>0</v>
      </c>
      <c r="G21" s="3">
        <v>1</v>
      </c>
      <c r="H21" s="3">
        <v>0</v>
      </c>
      <c r="I21" s="3">
        <v>1</v>
      </c>
      <c r="J21" s="3">
        <v>1</v>
      </c>
      <c r="K21" s="3">
        <v>1</v>
      </c>
      <c r="L21" s="3">
        <f t="shared" si="0"/>
        <v>0.7142857142857143</v>
      </c>
      <c r="M21" s="3">
        <v>0.25</v>
      </c>
      <c r="N21" s="3">
        <v>0</v>
      </c>
      <c r="O21" s="3">
        <v>0.25</v>
      </c>
      <c r="P21" s="3">
        <v>0.75</v>
      </c>
      <c r="Q21" s="3">
        <v>0.5</v>
      </c>
      <c r="R21" s="3">
        <f t="shared" si="1"/>
        <v>0.65</v>
      </c>
      <c r="S21" s="3">
        <f t="shared" si="2"/>
        <v>0.75</v>
      </c>
      <c r="T21" s="3" t="s">
        <v>166</v>
      </c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5">
      <c r="A22" s="3">
        <v>21</v>
      </c>
      <c r="B22" s="3" t="s">
        <v>44</v>
      </c>
      <c r="C22" s="3">
        <v>2020</v>
      </c>
      <c r="D22" s="3" t="s">
        <v>33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1</v>
      </c>
      <c r="K22" s="3">
        <v>0</v>
      </c>
      <c r="L22" s="3">
        <f t="shared" si="0"/>
        <v>0.2857142857142857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f t="shared" si="1"/>
        <v>1</v>
      </c>
      <c r="S22" s="3">
        <f t="shared" si="2"/>
        <v>0.25</v>
      </c>
      <c r="T22" s="3" t="s">
        <v>166</v>
      </c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5">
      <c r="A23" s="3">
        <v>22</v>
      </c>
      <c r="B23" s="3" t="s">
        <v>45</v>
      </c>
      <c r="C23" s="3">
        <v>2020</v>
      </c>
      <c r="D23" s="3" t="s">
        <v>33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1</v>
      </c>
      <c r="K23" s="3">
        <v>0</v>
      </c>
      <c r="L23" s="3">
        <f t="shared" si="0"/>
        <v>0.2857142857142857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f t="shared" si="1"/>
        <v>1</v>
      </c>
      <c r="S23" s="3">
        <f t="shared" si="2"/>
        <v>0.25</v>
      </c>
      <c r="T23" s="3" t="s">
        <v>166</v>
      </c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5">
      <c r="A24" s="3">
        <v>23</v>
      </c>
      <c r="B24" s="3" t="s">
        <v>46</v>
      </c>
      <c r="C24" s="3">
        <v>2020</v>
      </c>
      <c r="D24" s="3" t="s">
        <v>22</v>
      </c>
      <c r="E24" s="3">
        <v>1</v>
      </c>
      <c r="F24" s="3">
        <v>0</v>
      </c>
      <c r="G24" s="3">
        <v>0</v>
      </c>
      <c r="H24" s="3">
        <v>0</v>
      </c>
      <c r="I24" s="3">
        <v>1</v>
      </c>
      <c r="J24" s="3">
        <v>1</v>
      </c>
      <c r="K24" s="3">
        <v>0</v>
      </c>
      <c r="L24" s="3">
        <f t="shared" si="0"/>
        <v>0.42857142857142855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f t="shared" si="1"/>
        <v>1</v>
      </c>
      <c r="S24" s="3">
        <f t="shared" si="2"/>
        <v>0.5</v>
      </c>
      <c r="T24" s="3" t="s">
        <v>166</v>
      </c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5">
      <c r="A25" s="3">
        <v>24</v>
      </c>
      <c r="B25" s="3" t="s">
        <v>47</v>
      </c>
      <c r="C25" s="3">
        <v>2020</v>
      </c>
      <c r="D25" s="3" t="s">
        <v>22</v>
      </c>
      <c r="E25" s="3">
        <v>1</v>
      </c>
      <c r="F25" s="3">
        <v>1</v>
      </c>
      <c r="G25" s="3">
        <v>1</v>
      </c>
      <c r="H25" s="3">
        <v>0</v>
      </c>
      <c r="I25" s="3">
        <v>1</v>
      </c>
      <c r="J25" s="3">
        <v>1</v>
      </c>
      <c r="K25" s="3">
        <v>1</v>
      </c>
      <c r="L25" s="3">
        <f t="shared" si="0"/>
        <v>0.8571428571428571</v>
      </c>
      <c r="M25" s="3">
        <v>0.25</v>
      </c>
      <c r="N25" s="3">
        <v>0.5</v>
      </c>
      <c r="O25" s="3">
        <v>1</v>
      </c>
      <c r="P25" s="3">
        <v>0.5</v>
      </c>
      <c r="Q25" s="3">
        <v>0</v>
      </c>
      <c r="R25" s="3">
        <f t="shared" si="1"/>
        <v>0.55000000000000004</v>
      </c>
      <c r="S25" s="3">
        <f t="shared" si="2"/>
        <v>1</v>
      </c>
      <c r="T25" s="3" t="s">
        <v>166</v>
      </c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5">
      <c r="A26" s="3">
        <v>25</v>
      </c>
      <c r="B26" s="3" t="s">
        <v>48</v>
      </c>
      <c r="C26" s="3">
        <v>2020</v>
      </c>
      <c r="D26" s="3" t="s">
        <v>33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  <c r="L26" s="3">
        <f t="shared" si="0"/>
        <v>0.14285714285714285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f t="shared" si="1"/>
        <v>1</v>
      </c>
      <c r="S26" s="3">
        <f t="shared" si="2"/>
        <v>0.25</v>
      </c>
      <c r="T26" s="3" t="s">
        <v>166</v>
      </c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5">
      <c r="A27" s="3">
        <v>26</v>
      </c>
      <c r="B27" s="3" t="s">
        <v>49</v>
      </c>
      <c r="C27" s="3">
        <v>2023</v>
      </c>
      <c r="D27" s="3" t="s">
        <v>33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1</v>
      </c>
      <c r="K27" s="3">
        <v>1</v>
      </c>
      <c r="L27" s="3">
        <f t="shared" si="0"/>
        <v>0.42857142857142855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f t="shared" si="1"/>
        <v>1</v>
      </c>
      <c r="S27" s="3">
        <f t="shared" si="2"/>
        <v>0.25</v>
      </c>
      <c r="T27" s="3" t="s">
        <v>166</v>
      </c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5">
      <c r="A28" s="3">
        <v>27</v>
      </c>
      <c r="B28" s="3" t="s">
        <v>50</v>
      </c>
      <c r="C28" s="3">
        <v>2023</v>
      </c>
      <c r="D28" s="3" t="s">
        <v>22</v>
      </c>
      <c r="E28" s="3">
        <v>1</v>
      </c>
      <c r="F28" s="3">
        <v>1</v>
      </c>
      <c r="G28" s="3">
        <v>1</v>
      </c>
      <c r="H28" s="3">
        <v>1</v>
      </c>
      <c r="I28" s="3">
        <v>0</v>
      </c>
      <c r="J28" s="3">
        <v>1</v>
      </c>
      <c r="K28" s="3">
        <v>1</v>
      </c>
      <c r="L28" s="3">
        <f t="shared" si="0"/>
        <v>0.8571428571428571</v>
      </c>
      <c r="M28" s="3">
        <v>0.75</v>
      </c>
      <c r="N28" s="3">
        <v>0.25</v>
      </c>
      <c r="O28" s="3">
        <v>0.75</v>
      </c>
      <c r="P28" s="3">
        <v>0.5</v>
      </c>
      <c r="Q28" s="3">
        <v>0</v>
      </c>
      <c r="R28" s="3">
        <f t="shared" si="1"/>
        <v>0.55000000000000004</v>
      </c>
      <c r="S28" s="3">
        <f t="shared" si="2"/>
        <v>0.75</v>
      </c>
      <c r="T28" s="3" t="s">
        <v>166</v>
      </c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5">
      <c r="A29" s="3">
        <v>28</v>
      </c>
      <c r="B29" s="3" t="s">
        <v>51</v>
      </c>
      <c r="C29" s="3">
        <v>2024</v>
      </c>
      <c r="D29" s="3" t="s">
        <v>22</v>
      </c>
      <c r="E29" s="3">
        <v>0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f t="shared" si="0"/>
        <v>0.8571428571428571</v>
      </c>
      <c r="M29" s="3">
        <v>1</v>
      </c>
      <c r="N29" s="3">
        <v>1</v>
      </c>
      <c r="O29" s="3">
        <v>0.75</v>
      </c>
      <c r="P29" s="3">
        <v>0.75</v>
      </c>
      <c r="Q29" s="3">
        <v>0.25</v>
      </c>
      <c r="R29" s="3">
        <f t="shared" si="1"/>
        <v>0.25</v>
      </c>
      <c r="S29" s="3">
        <f t="shared" si="2"/>
        <v>0.75</v>
      </c>
      <c r="T29" s="3" t="s">
        <v>166</v>
      </c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5">
      <c r="A30" s="3">
        <v>29</v>
      </c>
      <c r="B30" s="3" t="s">
        <v>52</v>
      </c>
      <c r="C30" s="3">
        <v>2024</v>
      </c>
      <c r="D30" s="3" t="s">
        <v>33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f t="shared" si="0"/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f t="shared" si="1"/>
        <v>1</v>
      </c>
      <c r="S30" s="3">
        <f t="shared" si="2"/>
        <v>0</v>
      </c>
      <c r="T30" s="3" t="s">
        <v>166</v>
      </c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5">
      <c r="A31" s="3">
        <v>30</v>
      </c>
      <c r="B31" s="3" t="s">
        <v>53</v>
      </c>
      <c r="C31" s="3">
        <v>2024</v>
      </c>
      <c r="D31" s="3" t="s">
        <v>22</v>
      </c>
      <c r="E31" s="3">
        <v>1</v>
      </c>
      <c r="F31" s="3">
        <v>1</v>
      </c>
      <c r="G31" s="3">
        <v>0</v>
      </c>
      <c r="H31" s="3">
        <v>1</v>
      </c>
      <c r="I31" s="3">
        <v>0</v>
      </c>
      <c r="J31" s="3">
        <v>1</v>
      </c>
      <c r="K31" s="3">
        <v>1</v>
      </c>
      <c r="L31" s="3">
        <f t="shared" si="0"/>
        <v>0.7142857142857143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f t="shared" si="1"/>
        <v>1</v>
      </c>
      <c r="S31" s="3">
        <f t="shared" si="2"/>
        <v>0.5</v>
      </c>
      <c r="T31" s="3" t="s">
        <v>166</v>
      </c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5">
      <c r="A32" s="3">
        <v>31</v>
      </c>
      <c r="B32" s="3" t="s">
        <v>54</v>
      </c>
      <c r="C32" s="3">
        <v>2023</v>
      </c>
      <c r="D32" s="3" t="s">
        <v>24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f t="shared" si="0"/>
        <v>0.2857142857142857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f t="shared" si="1"/>
        <v>1</v>
      </c>
      <c r="S32" s="3">
        <f t="shared" si="2"/>
        <v>0.25</v>
      </c>
      <c r="T32" s="3" t="s">
        <v>166</v>
      </c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5">
      <c r="A33" s="3">
        <v>32</v>
      </c>
      <c r="B33" s="3" t="s">
        <v>55</v>
      </c>
      <c r="C33" s="3">
        <v>2022</v>
      </c>
      <c r="D33" s="3" t="s">
        <v>33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1</v>
      </c>
      <c r="L33" s="3">
        <f t="shared" si="0"/>
        <v>0.14285714285714285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f t="shared" si="1"/>
        <v>1</v>
      </c>
      <c r="S33" s="3">
        <f t="shared" si="2"/>
        <v>0</v>
      </c>
      <c r="T33" s="3" t="s">
        <v>166</v>
      </c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5">
      <c r="A34" s="3">
        <v>33</v>
      </c>
      <c r="B34" s="3" t="s">
        <v>56</v>
      </c>
      <c r="C34" s="3">
        <v>2024</v>
      </c>
      <c r="D34" s="3" t="s">
        <v>33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1</v>
      </c>
      <c r="L34" s="3">
        <f t="shared" ref="L34:L65" si="3">AVERAGE(E34:K34)</f>
        <v>0.2857142857142857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f t="shared" ref="R34:R65" si="4">AVERAGE(1-M34,1-N34,1-O34,1-P34,1-Q34)</f>
        <v>1</v>
      </c>
      <c r="S34" s="3">
        <f t="shared" ref="S34:S65" si="5">AVERAGE(E34,F34,G34,I34)</f>
        <v>0</v>
      </c>
      <c r="T34" s="3" t="s">
        <v>166</v>
      </c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5">
      <c r="A35" s="3">
        <v>34</v>
      </c>
      <c r="B35" s="3" t="s">
        <v>57</v>
      </c>
      <c r="C35" s="3">
        <v>2024</v>
      </c>
      <c r="D35" s="3" t="s">
        <v>24</v>
      </c>
      <c r="E35" s="3">
        <v>1</v>
      </c>
      <c r="F35" s="3">
        <v>1</v>
      </c>
      <c r="G35" s="3">
        <v>0</v>
      </c>
      <c r="H35" s="3">
        <v>1</v>
      </c>
      <c r="I35" s="3">
        <v>0</v>
      </c>
      <c r="J35" s="3">
        <v>1</v>
      </c>
      <c r="K35" s="3">
        <v>0</v>
      </c>
      <c r="L35" s="3">
        <f t="shared" si="3"/>
        <v>0.5714285714285714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f t="shared" si="4"/>
        <v>1</v>
      </c>
      <c r="S35" s="3">
        <f t="shared" si="5"/>
        <v>0.5</v>
      </c>
      <c r="T35" s="3" t="s">
        <v>166</v>
      </c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5">
      <c r="A36" s="3">
        <v>35</v>
      </c>
      <c r="B36" s="3" t="s">
        <v>58</v>
      </c>
      <c r="C36" s="3">
        <v>2024</v>
      </c>
      <c r="D36" s="3" t="s">
        <v>33</v>
      </c>
      <c r="E36" s="3">
        <v>0</v>
      </c>
      <c r="F36" s="3">
        <v>0</v>
      </c>
      <c r="G36" s="3">
        <v>0</v>
      </c>
      <c r="H36" s="3">
        <v>0</v>
      </c>
      <c r="I36" s="3">
        <v>1</v>
      </c>
      <c r="J36" s="3">
        <v>1</v>
      </c>
      <c r="K36" s="3">
        <v>1</v>
      </c>
      <c r="L36" s="3">
        <f t="shared" si="3"/>
        <v>0.42857142857142855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f t="shared" si="4"/>
        <v>1</v>
      </c>
      <c r="S36" s="3">
        <f t="shared" si="5"/>
        <v>0.25</v>
      </c>
      <c r="T36" s="3" t="s">
        <v>166</v>
      </c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5">
      <c r="A37" s="3">
        <v>36</v>
      </c>
      <c r="B37" s="3" t="s">
        <v>59</v>
      </c>
      <c r="C37" s="3">
        <v>2023</v>
      </c>
      <c r="D37" s="3" t="s">
        <v>33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</v>
      </c>
      <c r="K37" s="3">
        <v>0</v>
      </c>
      <c r="L37" s="3">
        <f t="shared" si="3"/>
        <v>0.14285714285714285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f t="shared" si="4"/>
        <v>1</v>
      </c>
      <c r="S37" s="3">
        <f t="shared" si="5"/>
        <v>0</v>
      </c>
      <c r="T37" s="3" t="s">
        <v>166</v>
      </c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5">
      <c r="A38" s="3">
        <v>37</v>
      </c>
      <c r="B38" s="3" t="s">
        <v>60</v>
      </c>
      <c r="C38" s="3">
        <v>2023</v>
      </c>
      <c r="D38" s="3" t="s">
        <v>33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>
        <f t="shared" si="3"/>
        <v>0.14285714285714285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f t="shared" si="4"/>
        <v>1</v>
      </c>
      <c r="S38" s="3">
        <f t="shared" si="5"/>
        <v>0.25</v>
      </c>
      <c r="T38" s="3" t="s">
        <v>166</v>
      </c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5">
      <c r="A39" s="3">
        <v>38</v>
      </c>
      <c r="B39" s="3" t="s">
        <v>61</v>
      </c>
      <c r="C39" s="3">
        <v>2022</v>
      </c>
      <c r="D39" s="3" t="s">
        <v>24</v>
      </c>
      <c r="E39" s="3">
        <v>0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f t="shared" si="3"/>
        <v>0.8571428571428571</v>
      </c>
      <c r="M39" s="3">
        <v>1</v>
      </c>
      <c r="N39" s="3">
        <v>1</v>
      </c>
      <c r="O39" s="3">
        <v>0</v>
      </c>
      <c r="P39" s="3">
        <v>0.75</v>
      </c>
      <c r="Q39" s="3">
        <v>1</v>
      </c>
      <c r="R39" s="3">
        <f t="shared" si="4"/>
        <v>0.25</v>
      </c>
      <c r="S39" s="3">
        <f t="shared" si="5"/>
        <v>0.75</v>
      </c>
      <c r="T39" s="3" t="s">
        <v>166</v>
      </c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5">
      <c r="A40" s="3">
        <v>39</v>
      </c>
      <c r="B40" s="3" t="s">
        <v>62</v>
      </c>
      <c r="C40" s="3">
        <v>2024</v>
      </c>
      <c r="D40" s="3" t="s">
        <v>24</v>
      </c>
      <c r="E40" s="3">
        <v>0</v>
      </c>
      <c r="F40" s="3">
        <v>1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f t="shared" si="3"/>
        <v>0.2857142857142857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f t="shared" si="4"/>
        <v>1</v>
      </c>
      <c r="S40" s="3">
        <f t="shared" si="5"/>
        <v>0.25</v>
      </c>
      <c r="T40" s="3" t="s">
        <v>166</v>
      </c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5">
      <c r="A41" s="3">
        <v>40</v>
      </c>
      <c r="B41" s="3" t="s">
        <v>62</v>
      </c>
      <c r="C41" s="3">
        <v>2024</v>
      </c>
      <c r="D41" s="3" t="s">
        <v>22</v>
      </c>
      <c r="E41" s="3">
        <v>1</v>
      </c>
      <c r="F41" s="3">
        <v>1</v>
      </c>
      <c r="G41" s="3">
        <v>0</v>
      </c>
      <c r="H41" s="3">
        <v>1</v>
      </c>
      <c r="I41" s="3">
        <v>0</v>
      </c>
      <c r="J41" s="3">
        <v>1</v>
      </c>
      <c r="K41" s="3">
        <v>0</v>
      </c>
      <c r="L41" s="3">
        <f t="shared" si="3"/>
        <v>0.5714285714285714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f t="shared" si="4"/>
        <v>1</v>
      </c>
      <c r="S41" s="3">
        <f t="shared" si="5"/>
        <v>0.5</v>
      </c>
      <c r="T41" s="3" t="s">
        <v>166</v>
      </c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5">
      <c r="A42" s="3">
        <v>41</v>
      </c>
      <c r="B42" s="3" t="s">
        <v>63</v>
      </c>
      <c r="C42" s="3">
        <v>2024</v>
      </c>
      <c r="D42" s="3" t="s">
        <v>33</v>
      </c>
      <c r="E42" s="3">
        <v>1</v>
      </c>
      <c r="F42" s="3">
        <v>0</v>
      </c>
      <c r="G42" s="3">
        <v>0</v>
      </c>
      <c r="H42" s="3">
        <v>0</v>
      </c>
      <c r="I42" s="3">
        <v>1</v>
      </c>
      <c r="J42" s="3">
        <v>1</v>
      </c>
      <c r="K42" s="3">
        <v>0</v>
      </c>
      <c r="L42" s="3">
        <f t="shared" si="3"/>
        <v>0.42857142857142855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f t="shared" si="4"/>
        <v>1</v>
      </c>
      <c r="S42" s="3">
        <f t="shared" si="5"/>
        <v>0.5</v>
      </c>
      <c r="T42" s="3" t="s">
        <v>166</v>
      </c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5">
      <c r="A43" s="3">
        <v>42</v>
      </c>
      <c r="B43" s="3" t="s">
        <v>64</v>
      </c>
      <c r="C43" s="3">
        <v>2024</v>
      </c>
      <c r="D43" s="3" t="s">
        <v>33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f t="shared" si="3"/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f t="shared" si="4"/>
        <v>1</v>
      </c>
      <c r="S43" s="3">
        <f t="shared" si="5"/>
        <v>0</v>
      </c>
      <c r="T43" s="3" t="s">
        <v>166</v>
      </c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5">
      <c r="A44" s="3">
        <v>43</v>
      </c>
      <c r="B44" s="3" t="s">
        <v>65</v>
      </c>
      <c r="C44" s="3">
        <v>2024</v>
      </c>
      <c r="D44" s="3" t="s">
        <v>24</v>
      </c>
      <c r="E44" s="3">
        <v>0</v>
      </c>
      <c r="F44" s="3">
        <v>1</v>
      </c>
      <c r="G44" s="3">
        <v>0</v>
      </c>
      <c r="H44" s="3">
        <v>0</v>
      </c>
      <c r="I44" s="3">
        <v>1</v>
      </c>
      <c r="J44" s="3">
        <v>1</v>
      </c>
      <c r="K44" s="3">
        <v>1</v>
      </c>
      <c r="L44" s="3">
        <f t="shared" si="3"/>
        <v>0.5714285714285714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f t="shared" si="4"/>
        <v>1</v>
      </c>
      <c r="S44" s="3">
        <f t="shared" si="5"/>
        <v>0.5</v>
      </c>
      <c r="T44" s="3" t="s">
        <v>166</v>
      </c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5">
      <c r="A45" s="3">
        <v>44</v>
      </c>
      <c r="B45" s="3" t="s">
        <v>66</v>
      </c>
      <c r="C45" s="3">
        <v>2024</v>
      </c>
      <c r="D45" s="3" t="s">
        <v>24</v>
      </c>
      <c r="E45" s="3">
        <v>0</v>
      </c>
      <c r="F45" s="3">
        <v>1</v>
      </c>
      <c r="G45" s="3">
        <v>0</v>
      </c>
      <c r="H45" s="3">
        <v>0</v>
      </c>
      <c r="I45" s="3">
        <v>1</v>
      </c>
      <c r="J45" s="3">
        <v>1</v>
      </c>
      <c r="K45" s="3">
        <v>1</v>
      </c>
      <c r="L45" s="3">
        <f t="shared" si="3"/>
        <v>0.5714285714285714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f t="shared" si="4"/>
        <v>1</v>
      </c>
      <c r="S45" s="3">
        <f t="shared" si="5"/>
        <v>0.5</v>
      </c>
      <c r="T45" s="3" t="s">
        <v>166</v>
      </c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5">
      <c r="A46" s="3">
        <v>45</v>
      </c>
      <c r="B46" s="3" t="s">
        <v>67</v>
      </c>
      <c r="C46" s="3">
        <v>2023</v>
      </c>
      <c r="D46" s="3" t="s">
        <v>22</v>
      </c>
      <c r="E46" s="3">
        <v>1</v>
      </c>
      <c r="F46" s="3">
        <v>1</v>
      </c>
      <c r="G46" s="3">
        <v>1</v>
      </c>
      <c r="H46" s="3">
        <v>0</v>
      </c>
      <c r="I46" s="3">
        <v>1</v>
      </c>
      <c r="J46" s="3">
        <v>1</v>
      </c>
      <c r="K46" s="3">
        <v>1</v>
      </c>
      <c r="L46" s="3">
        <f t="shared" si="3"/>
        <v>0.8571428571428571</v>
      </c>
      <c r="M46" s="3">
        <v>0</v>
      </c>
      <c r="N46" s="3">
        <v>0.25</v>
      </c>
      <c r="O46" s="3">
        <v>1</v>
      </c>
      <c r="P46" s="3">
        <v>1</v>
      </c>
      <c r="Q46" s="3">
        <v>0.75</v>
      </c>
      <c r="R46" s="3">
        <f t="shared" si="4"/>
        <v>0.4</v>
      </c>
      <c r="S46" s="3">
        <f t="shared" si="5"/>
        <v>1</v>
      </c>
      <c r="T46" s="3" t="s">
        <v>166</v>
      </c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5">
      <c r="A47" s="3">
        <v>46</v>
      </c>
      <c r="B47" s="3" t="s">
        <v>68</v>
      </c>
      <c r="C47" s="3">
        <v>2023</v>
      </c>
      <c r="D47" s="3" t="s">
        <v>24</v>
      </c>
      <c r="E47" s="3">
        <v>0</v>
      </c>
      <c r="F47" s="3">
        <v>1</v>
      </c>
      <c r="G47" s="3">
        <v>0</v>
      </c>
      <c r="H47" s="3">
        <v>1</v>
      </c>
      <c r="I47" s="3">
        <v>1</v>
      </c>
      <c r="J47" s="3">
        <v>0</v>
      </c>
      <c r="K47" s="3">
        <v>0</v>
      </c>
      <c r="L47" s="3">
        <f t="shared" si="3"/>
        <v>0.42857142857142855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f t="shared" si="4"/>
        <v>1</v>
      </c>
      <c r="S47" s="3">
        <f t="shared" si="5"/>
        <v>0.5</v>
      </c>
      <c r="T47" s="3" t="s">
        <v>166</v>
      </c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5">
      <c r="A48" s="3">
        <v>47</v>
      </c>
      <c r="B48" s="3" t="s">
        <v>69</v>
      </c>
      <c r="C48" s="3">
        <v>2024</v>
      </c>
      <c r="D48" s="3" t="s">
        <v>24</v>
      </c>
      <c r="E48" s="3">
        <v>1</v>
      </c>
      <c r="F48" s="3">
        <v>1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f t="shared" si="3"/>
        <v>0.42857142857142855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f t="shared" si="4"/>
        <v>1</v>
      </c>
      <c r="S48" s="3">
        <f t="shared" si="5"/>
        <v>0.5</v>
      </c>
      <c r="T48" s="3" t="s">
        <v>166</v>
      </c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5">
      <c r="A49" s="3">
        <v>48</v>
      </c>
      <c r="B49" s="3" t="s">
        <v>70</v>
      </c>
      <c r="C49" s="3">
        <v>2023</v>
      </c>
      <c r="D49" s="3" t="s">
        <v>22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0</v>
      </c>
      <c r="K49" s="3">
        <v>0</v>
      </c>
      <c r="L49" s="3">
        <f t="shared" si="3"/>
        <v>0.7142857142857143</v>
      </c>
      <c r="M49" s="3">
        <v>1</v>
      </c>
      <c r="N49" s="3">
        <v>0.75</v>
      </c>
      <c r="O49" s="3">
        <v>0.25</v>
      </c>
      <c r="P49" s="3">
        <v>0.5</v>
      </c>
      <c r="Q49" s="3">
        <v>0.5</v>
      </c>
      <c r="R49" s="3">
        <f t="shared" si="4"/>
        <v>0.4</v>
      </c>
      <c r="S49" s="3">
        <f t="shared" si="5"/>
        <v>1</v>
      </c>
      <c r="T49" s="3" t="s">
        <v>166</v>
      </c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5">
      <c r="A50" s="3">
        <v>49</v>
      </c>
      <c r="B50" s="3" t="s">
        <v>71</v>
      </c>
      <c r="C50" s="3">
        <v>2023</v>
      </c>
      <c r="D50" s="3" t="s">
        <v>24</v>
      </c>
      <c r="E50" s="3">
        <v>1</v>
      </c>
      <c r="F50" s="3">
        <v>1</v>
      </c>
      <c r="G50" s="3">
        <v>0</v>
      </c>
      <c r="H50" s="3">
        <v>1</v>
      </c>
      <c r="I50" s="3">
        <v>1</v>
      </c>
      <c r="J50" s="3">
        <v>1</v>
      </c>
      <c r="K50" s="3">
        <v>0</v>
      </c>
      <c r="L50" s="3">
        <f t="shared" si="3"/>
        <v>0.7142857142857143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f t="shared" si="4"/>
        <v>1</v>
      </c>
      <c r="S50" s="3">
        <f t="shared" si="5"/>
        <v>0.75</v>
      </c>
      <c r="T50" s="3" t="s">
        <v>166</v>
      </c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5">
      <c r="A51" s="3">
        <v>50</v>
      </c>
      <c r="B51" s="3" t="s">
        <v>72</v>
      </c>
      <c r="C51" s="3">
        <v>2023</v>
      </c>
      <c r="D51" s="3" t="s">
        <v>33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f t="shared" si="3"/>
        <v>0.2857142857142857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f t="shared" si="4"/>
        <v>1</v>
      </c>
      <c r="S51" s="3">
        <f t="shared" si="5"/>
        <v>0.25</v>
      </c>
      <c r="T51" s="3" t="s">
        <v>166</v>
      </c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5">
      <c r="A52" s="3">
        <v>51</v>
      </c>
      <c r="B52" s="3" t="s">
        <v>73</v>
      </c>
      <c r="C52" s="3">
        <v>2024</v>
      </c>
      <c r="D52" s="3" t="s">
        <v>22</v>
      </c>
      <c r="E52" s="3">
        <v>1</v>
      </c>
      <c r="F52" s="3">
        <v>1</v>
      </c>
      <c r="G52" s="3">
        <v>1</v>
      </c>
      <c r="H52" s="3">
        <v>0</v>
      </c>
      <c r="I52" s="3">
        <v>1</v>
      </c>
      <c r="J52" s="3">
        <v>1</v>
      </c>
      <c r="K52" s="3">
        <v>1</v>
      </c>
      <c r="L52" s="3">
        <f t="shared" si="3"/>
        <v>0.8571428571428571</v>
      </c>
      <c r="M52" s="3">
        <v>0</v>
      </c>
      <c r="N52" s="3">
        <v>0.25</v>
      </c>
      <c r="O52" s="3">
        <v>0.5</v>
      </c>
      <c r="P52" s="3">
        <v>0.75</v>
      </c>
      <c r="Q52" s="3">
        <v>0.25</v>
      </c>
      <c r="R52" s="3">
        <f t="shared" si="4"/>
        <v>0.65</v>
      </c>
      <c r="S52" s="3">
        <f t="shared" si="5"/>
        <v>1</v>
      </c>
      <c r="T52" s="3" t="s">
        <v>166</v>
      </c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5">
      <c r="A53" s="3">
        <v>52</v>
      </c>
      <c r="B53" s="3" t="s">
        <v>74</v>
      </c>
      <c r="C53" s="3">
        <v>2024</v>
      </c>
      <c r="D53" s="3" t="s">
        <v>24</v>
      </c>
      <c r="E53" s="3">
        <v>1</v>
      </c>
      <c r="F53" s="3">
        <v>0</v>
      </c>
      <c r="G53" s="3">
        <v>0</v>
      </c>
      <c r="H53" s="3">
        <v>0</v>
      </c>
      <c r="I53" s="3">
        <v>1</v>
      </c>
      <c r="J53" s="3">
        <v>0</v>
      </c>
      <c r="K53" s="3">
        <v>1</v>
      </c>
      <c r="L53" s="3">
        <f t="shared" si="3"/>
        <v>0.42857142857142855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f t="shared" si="4"/>
        <v>1</v>
      </c>
      <c r="S53" s="3">
        <f t="shared" si="5"/>
        <v>0.5</v>
      </c>
      <c r="T53" s="3" t="s">
        <v>166</v>
      </c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5">
      <c r="A54" s="3">
        <v>53</v>
      </c>
      <c r="B54" s="3" t="s">
        <v>75</v>
      </c>
      <c r="C54" s="3">
        <v>2024</v>
      </c>
      <c r="D54" s="3" t="s">
        <v>22</v>
      </c>
      <c r="E54" s="3">
        <v>1</v>
      </c>
      <c r="F54" s="3">
        <v>0</v>
      </c>
      <c r="G54" s="3">
        <v>1</v>
      </c>
      <c r="H54" s="3">
        <v>0</v>
      </c>
      <c r="I54" s="3">
        <v>0</v>
      </c>
      <c r="J54" s="3">
        <v>1</v>
      </c>
      <c r="K54" s="3">
        <v>1</v>
      </c>
      <c r="L54" s="3">
        <f t="shared" si="3"/>
        <v>0.5714285714285714</v>
      </c>
      <c r="M54" s="3">
        <v>0</v>
      </c>
      <c r="N54" s="3">
        <v>0.5</v>
      </c>
      <c r="O54" s="3">
        <v>0.25</v>
      </c>
      <c r="P54" s="3">
        <v>0.25</v>
      </c>
      <c r="Q54" s="3">
        <v>0</v>
      </c>
      <c r="R54" s="3">
        <f t="shared" si="4"/>
        <v>0.8</v>
      </c>
      <c r="S54" s="3">
        <f t="shared" si="5"/>
        <v>0.5</v>
      </c>
      <c r="T54" s="3" t="s">
        <v>166</v>
      </c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5">
      <c r="A55" s="3">
        <v>54</v>
      </c>
      <c r="B55" s="3" t="s">
        <v>76</v>
      </c>
      <c r="C55" s="3">
        <v>2024</v>
      </c>
      <c r="D55" s="3" t="s">
        <v>24</v>
      </c>
      <c r="E55" s="3">
        <v>1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f t="shared" si="3"/>
        <v>0.42857142857142855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f t="shared" si="4"/>
        <v>1</v>
      </c>
      <c r="S55" s="3">
        <f t="shared" si="5"/>
        <v>0.5</v>
      </c>
      <c r="T55" s="3" t="s">
        <v>166</v>
      </c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5">
      <c r="A56" s="3">
        <v>55</v>
      </c>
      <c r="B56" s="3" t="s">
        <v>77</v>
      </c>
      <c r="C56" s="3">
        <v>2024</v>
      </c>
      <c r="D56" s="3" t="s">
        <v>33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f t="shared" si="3"/>
        <v>0.14285714285714285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f t="shared" si="4"/>
        <v>1</v>
      </c>
      <c r="S56" s="3">
        <f t="shared" si="5"/>
        <v>0</v>
      </c>
      <c r="T56" s="3" t="s">
        <v>166</v>
      </c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5">
      <c r="A57" s="3">
        <v>56</v>
      </c>
      <c r="B57" s="3" t="s">
        <v>78</v>
      </c>
      <c r="C57" s="3">
        <v>2024</v>
      </c>
      <c r="D57" s="3" t="s">
        <v>24</v>
      </c>
      <c r="E57" s="3">
        <v>0</v>
      </c>
      <c r="F57" s="3">
        <v>1</v>
      </c>
      <c r="G57" s="3">
        <v>0</v>
      </c>
      <c r="H57" s="3">
        <v>0</v>
      </c>
      <c r="I57" s="3">
        <v>0</v>
      </c>
      <c r="J57" s="3">
        <v>1</v>
      </c>
      <c r="K57" s="3">
        <v>1</v>
      </c>
      <c r="L57" s="3">
        <f t="shared" si="3"/>
        <v>0.42857142857142855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f t="shared" si="4"/>
        <v>1</v>
      </c>
      <c r="S57" s="3">
        <f t="shared" si="5"/>
        <v>0.25</v>
      </c>
      <c r="T57" s="3" t="s">
        <v>166</v>
      </c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5">
      <c r="A58" s="3">
        <v>57</v>
      </c>
      <c r="B58" s="3" t="s">
        <v>79</v>
      </c>
      <c r="C58" s="3">
        <v>2023</v>
      </c>
      <c r="D58" s="3" t="s">
        <v>22</v>
      </c>
      <c r="E58" s="3">
        <v>1</v>
      </c>
      <c r="F58" s="3">
        <v>1</v>
      </c>
      <c r="G58" s="3">
        <v>0</v>
      </c>
      <c r="H58" s="3">
        <v>0</v>
      </c>
      <c r="I58" s="3">
        <v>1</v>
      </c>
      <c r="J58" s="3">
        <v>1</v>
      </c>
      <c r="K58" s="3">
        <v>1</v>
      </c>
      <c r="L58" s="3">
        <f t="shared" si="3"/>
        <v>0.7142857142857143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f t="shared" si="4"/>
        <v>1</v>
      </c>
      <c r="S58" s="3">
        <f t="shared" si="5"/>
        <v>0.75</v>
      </c>
      <c r="T58" s="3" t="s">
        <v>166</v>
      </c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5">
      <c r="A59" s="3">
        <v>58</v>
      </c>
      <c r="B59" s="3" t="s">
        <v>80</v>
      </c>
      <c r="C59" s="3">
        <v>2023</v>
      </c>
      <c r="D59" s="3" t="s">
        <v>33</v>
      </c>
      <c r="E59" s="3">
        <v>0</v>
      </c>
      <c r="F59" s="3">
        <v>0</v>
      </c>
      <c r="G59" s="3">
        <v>0</v>
      </c>
      <c r="H59" s="3">
        <v>1</v>
      </c>
      <c r="I59" s="3">
        <v>0</v>
      </c>
      <c r="J59" s="3">
        <v>1</v>
      </c>
      <c r="K59" s="3">
        <v>0</v>
      </c>
      <c r="L59" s="3">
        <f t="shared" si="3"/>
        <v>0.2857142857142857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f t="shared" si="4"/>
        <v>1</v>
      </c>
      <c r="S59" s="3">
        <f t="shared" si="5"/>
        <v>0</v>
      </c>
      <c r="T59" s="3" t="s">
        <v>166</v>
      </c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5">
      <c r="A60" s="3">
        <v>59</v>
      </c>
      <c r="B60" s="3" t="s">
        <v>81</v>
      </c>
      <c r="C60" s="3">
        <v>2024</v>
      </c>
      <c r="D60" s="3" t="s">
        <v>24</v>
      </c>
      <c r="E60" s="3">
        <v>1</v>
      </c>
      <c r="F60" s="3">
        <v>1</v>
      </c>
      <c r="G60" s="3">
        <v>1</v>
      </c>
      <c r="H60" s="3">
        <v>1</v>
      </c>
      <c r="I60" s="3">
        <v>0</v>
      </c>
      <c r="J60" s="3">
        <v>1</v>
      </c>
      <c r="K60" s="3">
        <v>1</v>
      </c>
      <c r="L60" s="3">
        <f t="shared" si="3"/>
        <v>0.8571428571428571</v>
      </c>
      <c r="M60" s="3">
        <v>0</v>
      </c>
      <c r="N60" s="3">
        <v>0.25</v>
      </c>
      <c r="O60" s="3">
        <v>0.25</v>
      </c>
      <c r="P60" s="3">
        <v>0.25</v>
      </c>
      <c r="Q60" s="3">
        <v>0</v>
      </c>
      <c r="R60" s="3">
        <f t="shared" si="4"/>
        <v>0.85</v>
      </c>
      <c r="S60" s="3">
        <f t="shared" si="5"/>
        <v>0.75</v>
      </c>
      <c r="T60" s="3" t="s">
        <v>166</v>
      </c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5">
      <c r="A61" s="3">
        <v>60</v>
      </c>
      <c r="B61" s="3" t="s">
        <v>82</v>
      </c>
      <c r="C61" s="3">
        <v>2024</v>
      </c>
      <c r="D61" s="3" t="s">
        <v>24</v>
      </c>
      <c r="E61" s="3">
        <v>1</v>
      </c>
      <c r="F61" s="3">
        <v>1</v>
      </c>
      <c r="G61" s="3">
        <v>0</v>
      </c>
      <c r="H61" s="3">
        <v>0</v>
      </c>
      <c r="I61" s="3">
        <v>1</v>
      </c>
      <c r="J61" s="3">
        <v>1</v>
      </c>
      <c r="K61" s="3">
        <v>0</v>
      </c>
      <c r="L61" s="3">
        <f t="shared" si="3"/>
        <v>0.5714285714285714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f t="shared" si="4"/>
        <v>1</v>
      </c>
      <c r="S61" s="3">
        <f t="shared" si="5"/>
        <v>0.75</v>
      </c>
      <c r="T61" s="3" t="s">
        <v>166</v>
      </c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5">
      <c r="A62" s="3">
        <v>61</v>
      </c>
      <c r="B62" s="3" t="s">
        <v>83</v>
      </c>
      <c r="C62" s="3">
        <v>2024</v>
      </c>
      <c r="D62" s="3" t="s">
        <v>22</v>
      </c>
      <c r="E62" s="3">
        <v>0</v>
      </c>
      <c r="F62" s="3">
        <v>1</v>
      </c>
      <c r="G62" s="3">
        <v>1</v>
      </c>
      <c r="H62" s="3">
        <v>1</v>
      </c>
      <c r="I62" s="3">
        <v>0</v>
      </c>
      <c r="J62" s="3">
        <v>0</v>
      </c>
      <c r="K62" s="3">
        <v>1</v>
      </c>
      <c r="L62" s="3">
        <f t="shared" si="3"/>
        <v>0.5714285714285714</v>
      </c>
      <c r="M62" s="3">
        <v>1</v>
      </c>
      <c r="N62" s="3">
        <v>1</v>
      </c>
      <c r="O62" s="3">
        <v>0</v>
      </c>
      <c r="P62" s="3">
        <v>1</v>
      </c>
      <c r="Q62" s="3">
        <v>0</v>
      </c>
      <c r="R62" s="3">
        <f t="shared" si="4"/>
        <v>0.4</v>
      </c>
      <c r="S62" s="3">
        <f t="shared" si="5"/>
        <v>0.5</v>
      </c>
      <c r="T62" s="3" t="s">
        <v>166</v>
      </c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5">
      <c r="A63" s="3">
        <v>62</v>
      </c>
      <c r="B63" s="3" t="s">
        <v>84</v>
      </c>
      <c r="C63" s="3">
        <v>2024</v>
      </c>
      <c r="D63" s="3" t="s">
        <v>22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f t="shared" si="3"/>
        <v>1</v>
      </c>
      <c r="M63" s="3">
        <v>0.75</v>
      </c>
      <c r="N63" s="3">
        <v>0.25</v>
      </c>
      <c r="O63" s="3">
        <v>0.5</v>
      </c>
      <c r="P63" s="3">
        <v>0.25</v>
      </c>
      <c r="Q63" s="3">
        <v>0.75</v>
      </c>
      <c r="R63" s="3">
        <f t="shared" si="4"/>
        <v>0.5</v>
      </c>
      <c r="S63" s="3">
        <f t="shared" si="5"/>
        <v>1</v>
      </c>
      <c r="T63" s="3" t="s">
        <v>166</v>
      </c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5">
      <c r="A64" s="3">
        <v>63</v>
      </c>
      <c r="B64" s="3" t="s">
        <v>85</v>
      </c>
      <c r="C64" s="3">
        <v>2024</v>
      </c>
      <c r="D64" s="3" t="s">
        <v>22</v>
      </c>
      <c r="E64" s="3">
        <v>1</v>
      </c>
      <c r="F64" s="3">
        <v>1</v>
      </c>
      <c r="G64" s="3">
        <v>1</v>
      </c>
      <c r="H64" s="3">
        <v>0</v>
      </c>
      <c r="I64" s="3">
        <v>1</v>
      </c>
      <c r="J64" s="3">
        <v>0</v>
      </c>
      <c r="K64" s="3">
        <v>1</v>
      </c>
      <c r="L64" s="3">
        <f t="shared" si="3"/>
        <v>0.7142857142857143</v>
      </c>
      <c r="M64" s="3">
        <v>0</v>
      </c>
      <c r="N64" s="3">
        <v>0.75</v>
      </c>
      <c r="O64" s="3">
        <v>1</v>
      </c>
      <c r="P64" s="3">
        <v>0.5</v>
      </c>
      <c r="Q64" s="3">
        <v>0.5</v>
      </c>
      <c r="R64" s="3">
        <f t="shared" si="4"/>
        <v>0.45</v>
      </c>
      <c r="S64" s="3">
        <f t="shared" si="5"/>
        <v>1</v>
      </c>
      <c r="T64" s="3" t="s">
        <v>166</v>
      </c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5">
      <c r="A65" s="3">
        <v>64</v>
      </c>
      <c r="B65" s="3" t="s">
        <v>86</v>
      </c>
      <c r="C65" s="3">
        <v>2024</v>
      </c>
      <c r="D65" s="3" t="s">
        <v>24</v>
      </c>
      <c r="E65" s="3">
        <v>1</v>
      </c>
      <c r="F65" s="3">
        <v>1</v>
      </c>
      <c r="G65" s="3">
        <v>0</v>
      </c>
      <c r="H65" s="3">
        <v>1</v>
      </c>
      <c r="I65" s="3">
        <v>1</v>
      </c>
      <c r="J65" s="3">
        <v>1</v>
      </c>
      <c r="K65" s="3">
        <v>0</v>
      </c>
      <c r="L65" s="3">
        <f t="shared" si="3"/>
        <v>0.7142857142857143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f t="shared" si="4"/>
        <v>1</v>
      </c>
      <c r="S65" s="3">
        <f t="shared" si="5"/>
        <v>0.75</v>
      </c>
      <c r="T65" s="3" t="s">
        <v>166</v>
      </c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5">
      <c r="A66" s="3">
        <v>65</v>
      </c>
      <c r="B66" s="3" t="s">
        <v>87</v>
      </c>
      <c r="C66" s="3">
        <v>2023</v>
      </c>
      <c r="D66" s="3" t="s">
        <v>22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0</v>
      </c>
      <c r="K66" s="3">
        <v>1</v>
      </c>
      <c r="L66" s="3">
        <f t="shared" ref="L66:L97" si="6">AVERAGE(E66:K66)</f>
        <v>0.8571428571428571</v>
      </c>
      <c r="M66" s="3">
        <v>0.25</v>
      </c>
      <c r="N66" s="3">
        <v>0.75</v>
      </c>
      <c r="O66" s="3">
        <v>0.75</v>
      </c>
      <c r="P66" s="3">
        <v>0</v>
      </c>
      <c r="Q66" s="3">
        <v>0</v>
      </c>
      <c r="R66" s="3">
        <f t="shared" ref="R66:R97" si="7">AVERAGE(1-M66,1-N66,1-O66,1-P66,1-Q66)</f>
        <v>0.65</v>
      </c>
      <c r="S66" s="3">
        <f t="shared" ref="S66:S97" si="8">AVERAGE(E66,F66,G66,I66)</f>
        <v>1</v>
      </c>
      <c r="T66" s="3" t="s">
        <v>166</v>
      </c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5">
      <c r="A67" s="3">
        <v>66</v>
      </c>
      <c r="B67" s="3" t="s">
        <v>88</v>
      </c>
      <c r="C67" s="3">
        <v>2024</v>
      </c>
      <c r="D67" s="3" t="s">
        <v>33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f t="shared" si="7"/>
        <v>1</v>
      </c>
      <c r="S67" s="3">
        <v>0</v>
      </c>
      <c r="T67" s="3" t="s">
        <v>166</v>
      </c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5">
      <c r="A68" s="3">
        <v>67</v>
      </c>
      <c r="B68" s="3" t="s">
        <v>90</v>
      </c>
      <c r="C68" s="3">
        <v>2024</v>
      </c>
      <c r="D68" s="3" t="s">
        <v>33</v>
      </c>
      <c r="E68" s="3">
        <v>1</v>
      </c>
      <c r="F68" s="3">
        <v>1</v>
      </c>
      <c r="G68" s="3">
        <v>0</v>
      </c>
      <c r="H68" s="3">
        <v>1</v>
      </c>
      <c r="I68" s="3">
        <v>0</v>
      </c>
      <c r="J68" s="3">
        <v>1</v>
      </c>
      <c r="K68" s="3">
        <v>0</v>
      </c>
      <c r="L68" s="3">
        <v>0.5714285714285714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f t="shared" si="7"/>
        <v>1</v>
      </c>
      <c r="S68" s="3">
        <v>0.33333333333333331</v>
      </c>
      <c r="T68" s="3" t="s">
        <v>166</v>
      </c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5">
      <c r="A69" s="3">
        <v>68</v>
      </c>
      <c r="B69" s="3" t="s">
        <v>91</v>
      </c>
      <c r="C69" s="3">
        <v>2024</v>
      </c>
      <c r="D69" s="3" t="s">
        <v>33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f t="shared" si="7"/>
        <v>1</v>
      </c>
      <c r="S69" s="3">
        <v>0</v>
      </c>
      <c r="T69" s="3" t="s">
        <v>166</v>
      </c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5">
      <c r="A70" s="3">
        <v>69</v>
      </c>
      <c r="B70" s="3" t="s">
        <v>92</v>
      </c>
      <c r="C70" s="3">
        <v>2023</v>
      </c>
      <c r="D70" s="3" t="s">
        <v>33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3">
        <v>0.42857142857142855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f t="shared" si="7"/>
        <v>1</v>
      </c>
      <c r="S70" s="3">
        <v>0.66666666666666663</v>
      </c>
      <c r="T70" s="3" t="s">
        <v>166</v>
      </c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5">
      <c r="A71" s="3">
        <v>70</v>
      </c>
      <c r="B71" s="3" t="s">
        <v>93</v>
      </c>
      <c r="C71" s="3">
        <v>2023</v>
      </c>
      <c r="D71" s="3" t="s">
        <v>33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0</v>
      </c>
      <c r="L71" s="3">
        <v>0.14285714285714285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f t="shared" si="7"/>
        <v>1</v>
      </c>
      <c r="S71" s="3">
        <v>0</v>
      </c>
      <c r="T71" s="3" t="s">
        <v>166</v>
      </c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5">
      <c r="A72" s="3">
        <v>71</v>
      </c>
      <c r="B72" s="3" t="s">
        <v>94</v>
      </c>
      <c r="C72" s="3">
        <v>2024</v>
      </c>
      <c r="D72" s="3" t="s">
        <v>96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f t="shared" si="7"/>
        <v>1</v>
      </c>
      <c r="S72" s="3">
        <v>0</v>
      </c>
      <c r="T72" s="3" t="s">
        <v>166</v>
      </c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5">
      <c r="A73" s="3">
        <v>72</v>
      </c>
      <c r="B73" s="3" t="s">
        <v>97</v>
      </c>
      <c r="C73" s="3">
        <v>2024</v>
      </c>
      <c r="D73" s="3" t="s">
        <v>33</v>
      </c>
      <c r="E73" s="3">
        <v>1</v>
      </c>
      <c r="F73" s="3">
        <v>1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0.2857142857142857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f t="shared" si="7"/>
        <v>1</v>
      </c>
      <c r="S73" s="3">
        <v>0.33333333333333331</v>
      </c>
      <c r="T73" s="3" t="s">
        <v>166</v>
      </c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5">
      <c r="A74" s="3">
        <v>73</v>
      </c>
      <c r="B74" s="3" t="s">
        <v>98</v>
      </c>
      <c r="C74" s="3">
        <v>2025</v>
      </c>
      <c r="D74" s="3" t="s">
        <v>33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>
        <v>0.14285714285714285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f t="shared" si="7"/>
        <v>1</v>
      </c>
      <c r="S74" s="3">
        <v>0.33333333333333331</v>
      </c>
      <c r="T74" s="3" t="s">
        <v>166</v>
      </c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5">
      <c r="A75" s="3">
        <v>74</v>
      </c>
      <c r="B75" s="3" t="s">
        <v>99</v>
      </c>
      <c r="C75" s="3">
        <v>2020</v>
      </c>
      <c r="D75" s="3" t="s">
        <v>33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1</v>
      </c>
      <c r="K75" s="3">
        <v>0</v>
      </c>
      <c r="L75" s="3">
        <f t="shared" si="6"/>
        <v>0.2857142857142857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f t="shared" si="7"/>
        <v>1</v>
      </c>
      <c r="S75" s="3">
        <f t="shared" si="8"/>
        <v>0.25</v>
      </c>
      <c r="T75" s="3" t="s">
        <v>166</v>
      </c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5">
      <c r="A76" s="3">
        <v>75</v>
      </c>
      <c r="B76" s="3" t="s">
        <v>100</v>
      </c>
      <c r="C76" s="3">
        <v>2019</v>
      </c>
      <c r="D76" s="3" t="s">
        <v>22</v>
      </c>
      <c r="E76" s="3">
        <v>1</v>
      </c>
      <c r="F76" s="3">
        <v>1</v>
      </c>
      <c r="G76" s="3">
        <v>1</v>
      </c>
      <c r="H76" s="3">
        <v>1</v>
      </c>
      <c r="I76" s="3">
        <v>0</v>
      </c>
      <c r="J76" s="3">
        <v>1</v>
      </c>
      <c r="K76" s="3">
        <v>1</v>
      </c>
      <c r="L76" s="3">
        <f t="shared" si="6"/>
        <v>0.8571428571428571</v>
      </c>
      <c r="M76" s="3">
        <v>0.5</v>
      </c>
      <c r="N76" s="3">
        <v>0.5</v>
      </c>
      <c r="O76" s="3">
        <v>0.75</v>
      </c>
      <c r="P76" s="3">
        <v>0</v>
      </c>
      <c r="Q76" s="3">
        <v>0.75</v>
      </c>
      <c r="R76" s="3">
        <f t="shared" si="7"/>
        <v>0.5</v>
      </c>
      <c r="S76" s="3">
        <f t="shared" si="8"/>
        <v>0.75</v>
      </c>
      <c r="T76" s="3" t="s">
        <v>166</v>
      </c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5">
      <c r="A77" s="3">
        <v>76</v>
      </c>
      <c r="B77" s="3" t="s">
        <v>101</v>
      </c>
      <c r="C77" s="3">
        <v>2019</v>
      </c>
      <c r="D77" s="3" t="s">
        <v>24</v>
      </c>
      <c r="E77" s="3">
        <v>0</v>
      </c>
      <c r="F77" s="3">
        <v>1</v>
      </c>
      <c r="G77" s="3">
        <v>0</v>
      </c>
      <c r="H77" s="3">
        <v>0</v>
      </c>
      <c r="I77" s="3">
        <v>0</v>
      </c>
      <c r="J77" s="3">
        <v>1</v>
      </c>
      <c r="K77" s="3">
        <v>0</v>
      </c>
      <c r="L77" s="3">
        <f t="shared" si="6"/>
        <v>0.2857142857142857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f t="shared" si="7"/>
        <v>1</v>
      </c>
      <c r="S77" s="3">
        <f t="shared" si="8"/>
        <v>0.25</v>
      </c>
      <c r="T77" s="3" t="s">
        <v>166</v>
      </c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5">
      <c r="A78" s="3">
        <v>77</v>
      </c>
      <c r="B78" s="3" t="s">
        <v>102</v>
      </c>
      <c r="C78" s="3">
        <v>2019</v>
      </c>
      <c r="D78" s="3" t="s">
        <v>24</v>
      </c>
      <c r="E78" s="3">
        <v>0</v>
      </c>
      <c r="F78" s="3">
        <v>1</v>
      </c>
      <c r="G78" s="3">
        <v>1</v>
      </c>
      <c r="H78" s="3">
        <v>0</v>
      </c>
      <c r="I78" s="3">
        <v>1</v>
      </c>
      <c r="J78" s="3">
        <v>1</v>
      </c>
      <c r="K78" s="3">
        <v>0</v>
      </c>
      <c r="L78" s="3">
        <f t="shared" si="6"/>
        <v>0.5714285714285714</v>
      </c>
      <c r="M78" s="3">
        <v>0.25</v>
      </c>
      <c r="N78" s="3">
        <v>1</v>
      </c>
      <c r="O78" s="3">
        <v>0.5</v>
      </c>
      <c r="P78" s="3">
        <v>0</v>
      </c>
      <c r="Q78" s="3">
        <v>0.75</v>
      </c>
      <c r="R78" s="3">
        <f t="shared" si="7"/>
        <v>0.5</v>
      </c>
      <c r="S78" s="3">
        <f t="shared" si="8"/>
        <v>0.75</v>
      </c>
      <c r="T78" s="3" t="s">
        <v>166</v>
      </c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5">
      <c r="A79" s="3">
        <v>78</v>
      </c>
      <c r="B79" s="3" t="s">
        <v>103</v>
      </c>
      <c r="C79" s="3">
        <v>2020</v>
      </c>
      <c r="D79" s="3" t="s">
        <v>24</v>
      </c>
      <c r="E79" s="3">
        <v>1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f t="shared" si="6"/>
        <v>0.2857142857142857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f t="shared" si="7"/>
        <v>1</v>
      </c>
      <c r="S79" s="3">
        <f t="shared" si="8"/>
        <v>0.5</v>
      </c>
      <c r="T79" s="3" t="s">
        <v>166</v>
      </c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5">
      <c r="A80" s="3">
        <v>79</v>
      </c>
      <c r="B80" s="3" t="s">
        <v>104</v>
      </c>
      <c r="C80" s="3">
        <v>2019</v>
      </c>
      <c r="D80" s="3" t="s">
        <v>22</v>
      </c>
      <c r="E80" s="3">
        <v>1</v>
      </c>
      <c r="F80" s="3">
        <v>1</v>
      </c>
      <c r="G80" s="3">
        <v>1</v>
      </c>
      <c r="H80" s="3">
        <v>0</v>
      </c>
      <c r="I80" s="3">
        <v>1</v>
      </c>
      <c r="J80" s="3">
        <v>1</v>
      </c>
      <c r="K80" s="3">
        <v>1</v>
      </c>
      <c r="L80" s="3">
        <f t="shared" si="6"/>
        <v>0.8571428571428571</v>
      </c>
      <c r="M80" s="3">
        <v>1</v>
      </c>
      <c r="N80" s="3">
        <v>0.75</v>
      </c>
      <c r="O80" s="3">
        <v>0.5</v>
      </c>
      <c r="P80" s="3">
        <v>0</v>
      </c>
      <c r="Q80" s="3">
        <v>0.75</v>
      </c>
      <c r="R80" s="3">
        <f t="shared" si="7"/>
        <v>0.4</v>
      </c>
      <c r="S80" s="3">
        <f t="shared" si="8"/>
        <v>1</v>
      </c>
      <c r="T80" s="3" t="s">
        <v>166</v>
      </c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5">
      <c r="A81" s="3">
        <v>80</v>
      </c>
      <c r="B81" s="3" t="s">
        <v>105</v>
      </c>
      <c r="C81" s="3">
        <v>2019</v>
      </c>
      <c r="D81" s="3" t="s">
        <v>24</v>
      </c>
      <c r="E81" s="3">
        <v>0</v>
      </c>
      <c r="F81" s="3">
        <v>1</v>
      </c>
      <c r="G81" s="3">
        <v>1</v>
      </c>
      <c r="H81" s="3">
        <v>0</v>
      </c>
      <c r="I81" s="3">
        <v>1</v>
      </c>
      <c r="J81" s="3">
        <v>1</v>
      </c>
      <c r="K81" s="3">
        <v>0</v>
      </c>
      <c r="L81" s="3">
        <f t="shared" si="6"/>
        <v>0.5714285714285714</v>
      </c>
      <c r="M81" s="3">
        <v>0</v>
      </c>
      <c r="N81" s="3">
        <v>0.25</v>
      </c>
      <c r="O81" s="3">
        <v>0</v>
      </c>
      <c r="P81" s="3">
        <v>1</v>
      </c>
      <c r="Q81" s="3">
        <v>0.5</v>
      </c>
      <c r="R81" s="3">
        <f t="shared" si="7"/>
        <v>0.65</v>
      </c>
      <c r="S81" s="3">
        <f t="shared" si="8"/>
        <v>0.75</v>
      </c>
      <c r="T81" s="3" t="s">
        <v>166</v>
      </c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5">
      <c r="A82" s="3">
        <v>81</v>
      </c>
      <c r="B82" s="3" t="s">
        <v>106</v>
      </c>
      <c r="C82" s="3">
        <v>2020</v>
      </c>
      <c r="D82" s="3" t="s">
        <v>22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f t="shared" si="6"/>
        <v>1</v>
      </c>
      <c r="M82" s="3">
        <v>0</v>
      </c>
      <c r="N82" s="3">
        <v>0.75</v>
      </c>
      <c r="O82" s="3">
        <v>0</v>
      </c>
      <c r="P82" s="3">
        <v>1</v>
      </c>
      <c r="Q82" s="3">
        <v>1</v>
      </c>
      <c r="R82" s="3">
        <f t="shared" si="7"/>
        <v>0.45</v>
      </c>
      <c r="S82" s="3">
        <f t="shared" si="8"/>
        <v>1</v>
      </c>
      <c r="T82" s="3" t="s">
        <v>166</v>
      </c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5">
      <c r="A83" s="3">
        <v>82</v>
      </c>
      <c r="B83" s="3" t="s">
        <v>107</v>
      </c>
      <c r="C83" s="3">
        <v>2021</v>
      </c>
      <c r="D83" s="3" t="s">
        <v>33</v>
      </c>
      <c r="E83" s="3">
        <v>0</v>
      </c>
      <c r="F83" s="3">
        <v>0</v>
      </c>
      <c r="G83" s="3">
        <v>0</v>
      </c>
      <c r="H83" s="3">
        <v>0</v>
      </c>
      <c r="I83" s="3">
        <v>1</v>
      </c>
      <c r="J83" s="3">
        <v>1</v>
      </c>
      <c r="K83" s="3">
        <v>1</v>
      </c>
      <c r="L83" s="3">
        <f t="shared" si="6"/>
        <v>0.42857142857142855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f t="shared" si="7"/>
        <v>1</v>
      </c>
      <c r="S83" s="3">
        <f t="shared" si="8"/>
        <v>0.25</v>
      </c>
      <c r="T83" s="3" t="s">
        <v>166</v>
      </c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5">
      <c r="A84" s="3">
        <v>83</v>
      </c>
      <c r="B84" s="3" t="s">
        <v>108</v>
      </c>
      <c r="C84" s="3">
        <v>2022</v>
      </c>
      <c r="D84" s="3" t="s">
        <v>24</v>
      </c>
      <c r="E84" s="3">
        <v>1</v>
      </c>
      <c r="F84" s="3">
        <v>1</v>
      </c>
      <c r="G84" s="3">
        <v>0</v>
      </c>
      <c r="H84" s="3">
        <v>1</v>
      </c>
      <c r="I84" s="3">
        <v>1</v>
      </c>
      <c r="J84" s="3">
        <v>1</v>
      </c>
      <c r="K84" s="3">
        <v>0</v>
      </c>
      <c r="L84" s="3">
        <f t="shared" si="6"/>
        <v>0.7142857142857143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f t="shared" si="7"/>
        <v>1</v>
      </c>
      <c r="S84" s="3">
        <f t="shared" si="8"/>
        <v>0.75</v>
      </c>
      <c r="T84" s="3" t="s">
        <v>166</v>
      </c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5">
      <c r="A85" s="3">
        <v>84</v>
      </c>
      <c r="B85" s="3" t="s">
        <v>109</v>
      </c>
      <c r="C85" s="3">
        <v>2023</v>
      </c>
      <c r="D85" s="3" t="s">
        <v>24</v>
      </c>
      <c r="E85" s="3">
        <v>0</v>
      </c>
      <c r="F85" s="3">
        <v>1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f t="shared" si="6"/>
        <v>0.2857142857142857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f t="shared" si="7"/>
        <v>1</v>
      </c>
      <c r="S85" s="3">
        <f t="shared" si="8"/>
        <v>0.25</v>
      </c>
      <c r="T85" s="3" t="s">
        <v>166</v>
      </c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5">
      <c r="A86" s="3">
        <v>85</v>
      </c>
      <c r="B86" s="3" t="s">
        <v>110</v>
      </c>
      <c r="C86" s="3">
        <v>2022</v>
      </c>
      <c r="D86" s="3" t="s">
        <v>24</v>
      </c>
      <c r="E86" s="3">
        <v>1</v>
      </c>
      <c r="F86" s="3">
        <v>1</v>
      </c>
      <c r="G86" s="3">
        <v>0</v>
      </c>
      <c r="H86" s="3">
        <v>0</v>
      </c>
      <c r="I86" s="3">
        <v>1</v>
      </c>
      <c r="J86" s="3">
        <v>0</v>
      </c>
      <c r="K86" s="3">
        <v>1</v>
      </c>
      <c r="L86" s="3">
        <f t="shared" si="6"/>
        <v>0.5714285714285714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f t="shared" si="7"/>
        <v>1</v>
      </c>
      <c r="S86" s="3">
        <f t="shared" si="8"/>
        <v>0.75</v>
      </c>
      <c r="T86" s="3" t="s">
        <v>166</v>
      </c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5">
      <c r="A87" s="3">
        <v>86</v>
      </c>
      <c r="B87" s="3" t="s">
        <v>111</v>
      </c>
      <c r="C87" s="3">
        <v>2022</v>
      </c>
      <c r="D87" s="3" t="s">
        <v>24</v>
      </c>
      <c r="E87" s="3">
        <v>0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f t="shared" si="6"/>
        <v>0.14285714285714285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f t="shared" si="7"/>
        <v>1</v>
      </c>
      <c r="S87" s="3">
        <f t="shared" si="8"/>
        <v>0.25</v>
      </c>
      <c r="T87" s="3" t="s">
        <v>166</v>
      </c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5">
      <c r="A88" s="3">
        <v>87</v>
      </c>
      <c r="B88" s="3" t="s">
        <v>112</v>
      </c>
      <c r="C88" s="3">
        <v>2021</v>
      </c>
      <c r="D88" s="3" t="s">
        <v>22</v>
      </c>
      <c r="E88" s="3">
        <v>0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f t="shared" si="6"/>
        <v>0.8571428571428571</v>
      </c>
      <c r="M88" s="3">
        <v>0.25</v>
      </c>
      <c r="N88" s="3">
        <v>0.25</v>
      </c>
      <c r="O88" s="3">
        <v>0.75</v>
      </c>
      <c r="P88" s="3">
        <v>1</v>
      </c>
      <c r="Q88" s="3">
        <v>0.75</v>
      </c>
      <c r="R88" s="3">
        <f t="shared" si="7"/>
        <v>0.4</v>
      </c>
      <c r="S88" s="3">
        <f t="shared" si="8"/>
        <v>0.75</v>
      </c>
      <c r="T88" s="3" t="s">
        <v>166</v>
      </c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5">
      <c r="A89" s="3">
        <v>88</v>
      </c>
      <c r="B89" s="3" t="s">
        <v>113</v>
      </c>
      <c r="C89" s="3">
        <v>2021</v>
      </c>
      <c r="D89" s="3" t="s">
        <v>22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1</v>
      </c>
      <c r="K89" s="3">
        <v>1</v>
      </c>
      <c r="L89" s="3">
        <f t="shared" si="6"/>
        <v>0.7142857142857143</v>
      </c>
      <c r="M89" s="3">
        <v>0.5</v>
      </c>
      <c r="N89" s="3">
        <v>0.5</v>
      </c>
      <c r="O89" s="3">
        <v>0</v>
      </c>
      <c r="P89" s="3">
        <v>0</v>
      </c>
      <c r="Q89" s="3">
        <v>0.5</v>
      </c>
      <c r="R89" s="3">
        <f t="shared" si="7"/>
        <v>0.7</v>
      </c>
      <c r="S89" s="3">
        <f t="shared" si="8"/>
        <v>0.75</v>
      </c>
      <c r="T89" s="3" t="s">
        <v>166</v>
      </c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5">
      <c r="A90" s="3">
        <v>89</v>
      </c>
      <c r="B90" s="3" t="s">
        <v>114</v>
      </c>
      <c r="C90" s="3">
        <v>2021</v>
      </c>
      <c r="D90" s="3" t="s">
        <v>33</v>
      </c>
      <c r="E90" s="3">
        <v>0</v>
      </c>
      <c r="F90" s="3">
        <v>1</v>
      </c>
      <c r="G90" s="3">
        <v>0</v>
      </c>
      <c r="H90" s="3">
        <v>0</v>
      </c>
      <c r="I90" s="3">
        <v>1</v>
      </c>
      <c r="J90" s="3">
        <v>1</v>
      </c>
      <c r="K90" s="3">
        <v>0</v>
      </c>
      <c r="L90" s="3">
        <f t="shared" si="6"/>
        <v>0.42857142857142855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f t="shared" si="7"/>
        <v>1</v>
      </c>
      <c r="S90" s="3">
        <f t="shared" si="8"/>
        <v>0.5</v>
      </c>
      <c r="T90" s="3" t="s">
        <v>166</v>
      </c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5">
      <c r="A91" s="3">
        <v>90</v>
      </c>
      <c r="B91" s="3" t="s">
        <v>115</v>
      </c>
      <c r="C91" s="3">
        <v>2022</v>
      </c>
      <c r="D91" s="3" t="s">
        <v>33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f t="shared" si="6"/>
        <v>0.14285714285714285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f t="shared" si="7"/>
        <v>1</v>
      </c>
      <c r="S91" s="3">
        <f t="shared" si="8"/>
        <v>0</v>
      </c>
      <c r="T91" s="3" t="s">
        <v>166</v>
      </c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5">
      <c r="A92" s="3">
        <v>91</v>
      </c>
      <c r="B92" s="3" t="s">
        <v>116</v>
      </c>
      <c r="C92" s="3">
        <v>2022</v>
      </c>
      <c r="D92" s="3" t="s">
        <v>22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f t="shared" si="6"/>
        <v>1</v>
      </c>
      <c r="M92" s="3">
        <v>0.5</v>
      </c>
      <c r="N92" s="3">
        <v>1</v>
      </c>
      <c r="O92" s="3">
        <v>0</v>
      </c>
      <c r="P92" s="3">
        <v>0</v>
      </c>
      <c r="Q92" s="3">
        <v>0.25</v>
      </c>
      <c r="R92" s="3">
        <f t="shared" si="7"/>
        <v>0.65</v>
      </c>
      <c r="S92" s="3">
        <f t="shared" si="8"/>
        <v>1</v>
      </c>
      <c r="T92" s="3" t="s">
        <v>166</v>
      </c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5">
      <c r="A93" s="3">
        <v>92</v>
      </c>
      <c r="B93" s="3" t="s">
        <v>117</v>
      </c>
      <c r="C93" s="3">
        <v>2021</v>
      </c>
      <c r="D93" s="3" t="s">
        <v>24</v>
      </c>
      <c r="E93" s="3">
        <v>1</v>
      </c>
      <c r="F93" s="3">
        <v>1</v>
      </c>
      <c r="G93" s="3">
        <v>0</v>
      </c>
      <c r="H93" s="3">
        <v>0</v>
      </c>
      <c r="I93" s="3">
        <v>1</v>
      </c>
      <c r="J93" s="3">
        <v>1</v>
      </c>
      <c r="K93" s="3">
        <v>1</v>
      </c>
      <c r="L93" s="3">
        <f t="shared" si="6"/>
        <v>0.7142857142857143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f t="shared" si="7"/>
        <v>1</v>
      </c>
      <c r="S93" s="3">
        <f t="shared" si="8"/>
        <v>0.75</v>
      </c>
      <c r="T93" s="3" t="s">
        <v>166</v>
      </c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5">
      <c r="A94" s="3">
        <v>93</v>
      </c>
      <c r="B94" s="3" t="s">
        <v>118</v>
      </c>
      <c r="C94" s="3">
        <v>2022</v>
      </c>
      <c r="D94" s="3" t="s">
        <v>33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3">
        <v>1</v>
      </c>
      <c r="L94" s="3">
        <f t="shared" si="6"/>
        <v>0.2857142857142857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f t="shared" si="7"/>
        <v>1</v>
      </c>
      <c r="S94" s="3">
        <f t="shared" si="8"/>
        <v>0</v>
      </c>
      <c r="T94" s="3" t="s">
        <v>166</v>
      </c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5">
      <c r="A95" s="3">
        <v>94</v>
      </c>
      <c r="B95" s="3" t="s">
        <v>119</v>
      </c>
      <c r="C95" s="3">
        <v>2022</v>
      </c>
      <c r="D95" s="3" t="s">
        <v>33</v>
      </c>
      <c r="E95" s="3">
        <v>0</v>
      </c>
      <c r="F95" s="3">
        <v>0</v>
      </c>
      <c r="G95" s="3">
        <v>0</v>
      </c>
      <c r="H95" s="3">
        <v>0</v>
      </c>
      <c r="I95" s="3">
        <v>1</v>
      </c>
      <c r="J95" s="3">
        <v>1</v>
      </c>
      <c r="K95" s="3">
        <v>1</v>
      </c>
      <c r="L95" s="3">
        <f t="shared" si="6"/>
        <v>0.42857142857142855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f t="shared" si="7"/>
        <v>1</v>
      </c>
      <c r="S95" s="3">
        <f t="shared" si="8"/>
        <v>0.25</v>
      </c>
      <c r="T95" s="3" t="s">
        <v>166</v>
      </c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5">
      <c r="A96" s="3">
        <v>95</v>
      </c>
      <c r="B96" s="3" t="s">
        <v>120</v>
      </c>
      <c r="C96" s="3">
        <v>2024</v>
      </c>
      <c r="D96" s="3" t="s">
        <v>22</v>
      </c>
      <c r="E96" s="3">
        <v>1</v>
      </c>
      <c r="F96" s="3">
        <v>1</v>
      </c>
      <c r="G96" s="3">
        <v>0</v>
      </c>
      <c r="H96" s="3">
        <v>1</v>
      </c>
      <c r="I96" s="3">
        <v>0</v>
      </c>
      <c r="J96" s="3">
        <v>1</v>
      </c>
      <c r="K96" s="3">
        <v>1</v>
      </c>
      <c r="L96" s="3">
        <f t="shared" si="6"/>
        <v>0.7142857142857143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f t="shared" si="7"/>
        <v>1</v>
      </c>
      <c r="S96" s="3">
        <f t="shared" si="8"/>
        <v>0.5</v>
      </c>
      <c r="T96" s="3" t="s">
        <v>166</v>
      </c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5">
      <c r="A97" s="3">
        <v>96</v>
      </c>
      <c r="B97" s="3" t="s">
        <v>121</v>
      </c>
      <c r="C97" s="3">
        <v>2020</v>
      </c>
      <c r="D97" s="3" t="s">
        <v>22</v>
      </c>
      <c r="E97" s="3">
        <v>0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0</v>
      </c>
      <c r="L97" s="3">
        <f t="shared" si="6"/>
        <v>0.7142857142857143</v>
      </c>
      <c r="M97" s="3">
        <v>1</v>
      </c>
      <c r="N97" s="3">
        <v>0</v>
      </c>
      <c r="O97" s="3">
        <v>0.25</v>
      </c>
      <c r="P97" s="3">
        <v>0.75</v>
      </c>
      <c r="Q97" s="3">
        <v>1</v>
      </c>
      <c r="R97" s="3">
        <f t="shared" si="7"/>
        <v>0.4</v>
      </c>
      <c r="S97" s="3">
        <f t="shared" si="8"/>
        <v>0.75</v>
      </c>
      <c r="T97" s="3" t="s">
        <v>166</v>
      </c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5">
      <c r="A98" s="3">
        <v>97</v>
      </c>
      <c r="B98" s="3" t="s">
        <v>122</v>
      </c>
      <c r="C98" s="3">
        <v>2020</v>
      </c>
      <c r="D98" s="3" t="s">
        <v>24</v>
      </c>
      <c r="E98" s="3">
        <v>1</v>
      </c>
      <c r="F98" s="3">
        <v>1</v>
      </c>
      <c r="G98" s="3">
        <v>1</v>
      </c>
      <c r="H98" s="3">
        <v>0</v>
      </c>
      <c r="I98" s="3">
        <v>0</v>
      </c>
      <c r="J98" s="3">
        <v>0</v>
      </c>
      <c r="K98" s="3">
        <v>0</v>
      </c>
      <c r="L98" s="3">
        <f t="shared" ref="L98:L122" si="9">AVERAGE(E98:K98)</f>
        <v>0.42857142857142855</v>
      </c>
      <c r="M98" s="3">
        <v>1</v>
      </c>
      <c r="N98" s="3">
        <v>0.25</v>
      </c>
      <c r="O98" s="3">
        <v>0.25</v>
      </c>
      <c r="P98" s="3">
        <v>0.25</v>
      </c>
      <c r="Q98" s="3">
        <v>0.25</v>
      </c>
      <c r="R98" s="3">
        <f t="shared" ref="R98:R122" si="10">AVERAGE(1-M98,1-N98,1-O98,1-P98,1-Q98)</f>
        <v>0.6</v>
      </c>
      <c r="S98" s="3">
        <f t="shared" ref="S98:S122" si="11">AVERAGE(E98,F98,G98,I98)</f>
        <v>0.75</v>
      </c>
      <c r="T98" s="3" t="s">
        <v>166</v>
      </c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5">
      <c r="A99" s="3">
        <v>98</v>
      </c>
      <c r="B99" s="3" t="s">
        <v>123</v>
      </c>
      <c r="C99" s="3">
        <v>2020</v>
      </c>
      <c r="D99" s="3" t="s">
        <v>24</v>
      </c>
      <c r="E99" s="3">
        <v>1</v>
      </c>
      <c r="F99" s="3">
        <v>1</v>
      </c>
      <c r="G99" s="3">
        <v>1</v>
      </c>
      <c r="H99" s="3">
        <v>0</v>
      </c>
      <c r="I99" s="3">
        <v>0</v>
      </c>
      <c r="J99" s="3">
        <v>0</v>
      </c>
      <c r="K99" s="3">
        <v>1</v>
      </c>
      <c r="L99" s="3">
        <f t="shared" si="9"/>
        <v>0.5714285714285714</v>
      </c>
      <c r="M99" s="3">
        <v>1</v>
      </c>
      <c r="N99" s="3">
        <v>1</v>
      </c>
      <c r="O99" s="3">
        <v>0.25</v>
      </c>
      <c r="P99" s="3">
        <v>0.5</v>
      </c>
      <c r="Q99" s="3">
        <v>0.75</v>
      </c>
      <c r="R99" s="3">
        <f t="shared" si="10"/>
        <v>0.3</v>
      </c>
      <c r="S99" s="3">
        <f t="shared" si="11"/>
        <v>0.75</v>
      </c>
      <c r="T99" s="3" t="s">
        <v>166</v>
      </c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5">
      <c r="A100" s="3">
        <v>99</v>
      </c>
      <c r="B100" s="3" t="s">
        <v>124</v>
      </c>
      <c r="C100" s="3">
        <v>2020</v>
      </c>
      <c r="D100" s="3" t="s">
        <v>22</v>
      </c>
      <c r="E100" s="3">
        <v>1</v>
      </c>
      <c r="F100" s="3">
        <v>0</v>
      </c>
      <c r="G100" s="3">
        <v>1</v>
      </c>
      <c r="H100" s="3">
        <v>0</v>
      </c>
      <c r="I100" s="3">
        <v>0</v>
      </c>
      <c r="J100" s="3">
        <v>1</v>
      </c>
      <c r="K100" s="3">
        <v>1</v>
      </c>
      <c r="L100" s="3">
        <f t="shared" si="9"/>
        <v>0.5714285714285714</v>
      </c>
      <c r="M100" s="3">
        <v>0.25</v>
      </c>
      <c r="N100" s="3">
        <v>0</v>
      </c>
      <c r="O100" s="3">
        <v>0</v>
      </c>
      <c r="P100" s="3">
        <v>0.5</v>
      </c>
      <c r="Q100" s="3">
        <v>0.25</v>
      </c>
      <c r="R100" s="3">
        <f t="shared" si="10"/>
        <v>0.8</v>
      </c>
      <c r="S100" s="3">
        <f t="shared" si="11"/>
        <v>0.5</v>
      </c>
      <c r="T100" s="3" t="s">
        <v>166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5">
      <c r="A101" s="3">
        <v>100</v>
      </c>
      <c r="B101" s="3" t="s">
        <v>125</v>
      </c>
      <c r="C101" s="3">
        <v>2020</v>
      </c>
      <c r="D101" s="3" t="s">
        <v>24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f t="shared" si="9"/>
        <v>0.2857142857142857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f t="shared" si="10"/>
        <v>1</v>
      </c>
      <c r="S101" s="3">
        <f t="shared" si="11"/>
        <v>0.25</v>
      </c>
      <c r="T101" s="3" t="s">
        <v>166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5">
      <c r="A102" s="3">
        <v>101</v>
      </c>
      <c r="B102" s="3" t="s">
        <v>126</v>
      </c>
      <c r="C102" s="3">
        <v>2022</v>
      </c>
      <c r="D102" s="3" t="s">
        <v>33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1</v>
      </c>
      <c r="K102" s="3">
        <v>0</v>
      </c>
      <c r="L102" s="3">
        <f t="shared" si="9"/>
        <v>0.2857142857142857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f t="shared" si="10"/>
        <v>1</v>
      </c>
      <c r="S102" s="3">
        <f t="shared" si="11"/>
        <v>0</v>
      </c>
      <c r="T102" s="3" t="s">
        <v>166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5">
      <c r="A103" s="3">
        <v>102</v>
      </c>
      <c r="B103" s="3" t="s">
        <v>127</v>
      </c>
      <c r="C103" s="3">
        <v>2021</v>
      </c>
      <c r="D103" s="3" t="s">
        <v>24</v>
      </c>
      <c r="E103" s="3">
        <v>1</v>
      </c>
      <c r="F103" s="3">
        <v>1</v>
      </c>
      <c r="G103" s="3">
        <v>0</v>
      </c>
      <c r="H103" s="3">
        <v>0</v>
      </c>
      <c r="I103" s="3">
        <v>0</v>
      </c>
      <c r="J103" s="3">
        <v>1</v>
      </c>
      <c r="K103" s="3">
        <v>1</v>
      </c>
      <c r="L103" s="3">
        <f t="shared" si="9"/>
        <v>0.5714285714285714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f t="shared" si="10"/>
        <v>1</v>
      </c>
      <c r="S103" s="3">
        <f t="shared" si="11"/>
        <v>0.5</v>
      </c>
      <c r="T103" s="3" t="s">
        <v>166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5">
      <c r="A104" s="3">
        <v>103</v>
      </c>
      <c r="B104" s="3" t="s">
        <v>128</v>
      </c>
      <c r="C104" s="3">
        <v>2022</v>
      </c>
      <c r="D104" s="3" t="s">
        <v>33</v>
      </c>
      <c r="E104" s="3">
        <v>0</v>
      </c>
      <c r="F104" s="3">
        <v>1</v>
      </c>
      <c r="G104" s="3">
        <v>0</v>
      </c>
      <c r="H104" s="3">
        <v>0</v>
      </c>
      <c r="I104" s="3">
        <v>1</v>
      </c>
      <c r="J104" s="3">
        <v>0</v>
      </c>
      <c r="K104" s="3">
        <v>0</v>
      </c>
      <c r="L104" s="3">
        <f t="shared" si="9"/>
        <v>0.2857142857142857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f t="shared" si="10"/>
        <v>1</v>
      </c>
      <c r="S104" s="3">
        <f t="shared" si="11"/>
        <v>0.5</v>
      </c>
      <c r="T104" s="3" t="s">
        <v>166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5">
      <c r="A105" s="3">
        <v>104</v>
      </c>
      <c r="B105" s="3" t="s">
        <v>129</v>
      </c>
      <c r="C105" s="3">
        <v>2022</v>
      </c>
      <c r="D105" s="3" t="s">
        <v>24</v>
      </c>
      <c r="E105" s="3">
        <v>1</v>
      </c>
      <c r="F105" s="3">
        <v>1</v>
      </c>
      <c r="G105" s="3">
        <v>1</v>
      </c>
      <c r="H105" s="3">
        <v>0</v>
      </c>
      <c r="I105" s="3">
        <v>1</v>
      </c>
      <c r="J105" s="3">
        <v>0</v>
      </c>
      <c r="K105" s="3">
        <v>1</v>
      </c>
      <c r="L105" s="3">
        <f t="shared" si="9"/>
        <v>0.7142857142857143</v>
      </c>
      <c r="M105" s="3">
        <v>0.5</v>
      </c>
      <c r="N105" s="3">
        <v>0.75</v>
      </c>
      <c r="O105" s="3">
        <v>1</v>
      </c>
      <c r="P105" s="3">
        <v>1</v>
      </c>
      <c r="Q105" s="3">
        <v>0.5</v>
      </c>
      <c r="R105" s="3">
        <f t="shared" si="10"/>
        <v>0.25</v>
      </c>
      <c r="S105" s="3">
        <f t="shared" si="11"/>
        <v>1</v>
      </c>
      <c r="T105" s="3" t="s">
        <v>166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5">
      <c r="A106" s="3">
        <v>105</v>
      </c>
      <c r="B106" s="3" t="s">
        <v>130</v>
      </c>
      <c r="C106" s="3">
        <v>2020</v>
      </c>
      <c r="D106" s="3" t="s">
        <v>33</v>
      </c>
      <c r="E106" s="3">
        <v>0</v>
      </c>
      <c r="F106" s="3">
        <v>0</v>
      </c>
      <c r="G106" s="3">
        <v>0</v>
      </c>
      <c r="H106" s="3">
        <v>1</v>
      </c>
      <c r="I106" s="3">
        <v>1</v>
      </c>
      <c r="J106" s="3">
        <v>1</v>
      </c>
      <c r="K106" s="3">
        <v>0</v>
      </c>
      <c r="L106" s="3">
        <f t="shared" si="9"/>
        <v>0.42857142857142855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f t="shared" si="10"/>
        <v>1</v>
      </c>
      <c r="S106" s="3">
        <f t="shared" si="11"/>
        <v>0.25</v>
      </c>
      <c r="T106" s="3" t="s">
        <v>166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5">
      <c r="A107" s="3">
        <v>106</v>
      </c>
      <c r="B107" s="3" t="s">
        <v>131</v>
      </c>
      <c r="C107" s="3">
        <v>2020</v>
      </c>
      <c r="D107" s="3" t="s">
        <v>24</v>
      </c>
      <c r="E107" s="3">
        <v>0</v>
      </c>
      <c r="F107" s="3">
        <v>1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f t="shared" si="9"/>
        <v>0.8571428571428571</v>
      </c>
      <c r="M107" s="3">
        <v>0.5</v>
      </c>
      <c r="N107" s="3">
        <v>0</v>
      </c>
      <c r="O107" s="3">
        <v>1</v>
      </c>
      <c r="P107" s="3">
        <v>1</v>
      </c>
      <c r="Q107" s="3">
        <v>1</v>
      </c>
      <c r="R107" s="3">
        <f t="shared" si="10"/>
        <v>0.3</v>
      </c>
      <c r="S107" s="3">
        <f t="shared" si="11"/>
        <v>0.75</v>
      </c>
      <c r="T107" s="3" t="s">
        <v>166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5">
      <c r="A108" s="3">
        <v>107</v>
      </c>
      <c r="B108" s="3" t="s">
        <v>132</v>
      </c>
      <c r="C108" s="3">
        <v>2020</v>
      </c>
      <c r="D108" s="3" t="s">
        <v>24</v>
      </c>
      <c r="E108" s="3">
        <v>1</v>
      </c>
      <c r="F108" s="3">
        <v>1</v>
      </c>
      <c r="G108" s="3">
        <v>0</v>
      </c>
      <c r="H108" s="3">
        <v>1</v>
      </c>
      <c r="I108" s="3">
        <v>0</v>
      </c>
      <c r="J108" s="3">
        <v>1</v>
      </c>
      <c r="K108" s="3">
        <v>1</v>
      </c>
      <c r="L108" s="3">
        <f t="shared" si="9"/>
        <v>0.7142857142857143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f t="shared" si="10"/>
        <v>1</v>
      </c>
      <c r="S108" s="3">
        <f t="shared" si="11"/>
        <v>0.5</v>
      </c>
      <c r="T108" s="3" t="s">
        <v>166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5">
      <c r="A109" s="3">
        <v>108</v>
      </c>
      <c r="B109" s="3" t="s">
        <v>133</v>
      </c>
      <c r="C109" s="3">
        <v>2019</v>
      </c>
      <c r="D109" s="3" t="s">
        <v>24</v>
      </c>
      <c r="E109" s="3">
        <v>0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f t="shared" si="9"/>
        <v>0.2857142857142857</v>
      </c>
      <c r="M109" s="3">
        <v>0.25</v>
      </c>
      <c r="N109" s="3">
        <v>0.75</v>
      </c>
      <c r="O109" s="3">
        <v>0</v>
      </c>
      <c r="P109" s="3">
        <v>0.25</v>
      </c>
      <c r="Q109" s="3">
        <v>1</v>
      </c>
      <c r="R109" s="3">
        <f t="shared" si="10"/>
        <v>0.55000000000000004</v>
      </c>
      <c r="S109" s="3">
        <f t="shared" si="11"/>
        <v>0.25</v>
      </c>
      <c r="T109" s="3" t="s">
        <v>166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5">
      <c r="A110" s="3">
        <v>109</v>
      </c>
      <c r="B110" s="3" t="s">
        <v>134</v>
      </c>
      <c r="C110" s="3">
        <v>2019</v>
      </c>
      <c r="D110" s="3" t="s">
        <v>33</v>
      </c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>
        <v>0</v>
      </c>
      <c r="K110" s="3">
        <v>1</v>
      </c>
      <c r="L110" s="3">
        <f t="shared" si="9"/>
        <v>0.2857142857142857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f t="shared" si="10"/>
        <v>1</v>
      </c>
      <c r="S110" s="3">
        <f t="shared" si="11"/>
        <v>0.25</v>
      </c>
      <c r="T110" s="3" t="s">
        <v>166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5">
      <c r="A111" s="3">
        <v>110</v>
      </c>
      <c r="B111" s="3" t="s">
        <v>135</v>
      </c>
      <c r="C111" s="3">
        <v>2020</v>
      </c>
      <c r="D111" s="3" t="s">
        <v>33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1</v>
      </c>
      <c r="L111" s="3">
        <f t="shared" si="9"/>
        <v>0.2857142857142857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f t="shared" si="10"/>
        <v>1</v>
      </c>
      <c r="S111" s="3">
        <f t="shared" si="11"/>
        <v>0.25</v>
      </c>
      <c r="T111" s="3" t="s">
        <v>166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5">
      <c r="A112" s="3">
        <v>111</v>
      </c>
      <c r="B112" s="3" t="s">
        <v>136</v>
      </c>
      <c r="C112" s="3">
        <v>2019</v>
      </c>
      <c r="D112" s="3" t="s">
        <v>22</v>
      </c>
      <c r="E112" s="3">
        <v>1</v>
      </c>
      <c r="F112" s="3">
        <v>1</v>
      </c>
      <c r="G112" s="3">
        <v>1</v>
      </c>
      <c r="H112" s="3">
        <v>0</v>
      </c>
      <c r="I112" s="3">
        <v>1</v>
      </c>
      <c r="J112" s="3">
        <v>1</v>
      </c>
      <c r="K112" s="3">
        <v>1</v>
      </c>
      <c r="L112" s="3">
        <f t="shared" si="9"/>
        <v>0.8571428571428571</v>
      </c>
      <c r="M112" s="3">
        <v>0.5</v>
      </c>
      <c r="N112" s="3">
        <v>0.5</v>
      </c>
      <c r="O112" s="3">
        <v>0.5</v>
      </c>
      <c r="P112" s="3">
        <v>0.25</v>
      </c>
      <c r="Q112" s="3">
        <v>0.25</v>
      </c>
      <c r="R112" s="3">
        <f t="shared" si="10"/>
        <v>0.6</v>
      </c>
      <c r="S112" s="3">
        <f t="shared" si="11"/>
        <v>1</v>
      </c>
      <c r="T112" s="3" t="s">
        <v>166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5">
      <c r="A113" s="3">
        <v>112</v>
      </c>
      <c r="B113" s="3" t="s">
        <v>137</v>
      </c>
      <c r="C113" s="3">
        <v>2025</v>
      </c>
      <c r="D113" s="3" t="s">
        <v>24</v>
      </c>
      <c r="E113" s="3">
        <v>0</v>
      </c>
      <c r="F113" s="3">
        <v>1</v>
      </c>
      <c r="G113" s="3">
        <v>1</v>
      </c>
      <c r="H113" s="3">
        <v>0</v>
      </c>
      <c r="I113" s="3">
        <v>0</v>
      </c>
      <c r="J113" s="3">
        <v>0</v>
      </c>
      <c r="K113" s="3">
        <v>1</v>
      </c>
      <c r="L113" s="3">
        <f t="shared" si="9"/>
        <v>0.42857142857142855</v>
      </c>
      <c r="M113" s="3">
        <v>0.25</v>
      </c>
      <c r="N113" s="3">
        <v>0.75</v>
      </c>
      <c r="O113" s="3">
        <v>0.25</v>
      </c>
      <c r="P113" s="3">
        <v>1</v>
      </c>
      <c r="Q113" s="3">
        <v>0.25</v>
      </c>
      <c r="R113" s="3">
        <f t="shared" si="10"/>
        <v>0.5</v>
      </c>
      <c r="S113" s="3">
        <f t="shared" si="11"/>
        <v>0.5</v>
      </c>
      <c r="T113" s="3" t="s">
        <v>166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5">
      <c r="A114" s="3">
        <v>113</v>
      </c>
      <c r="B114" s="3" t="s">
        <v>138</v>
      </c>
      <c r="C114" s="3">
        <v>2025</v>
      </c>
      <c r="D114" s="3" t="s">
        <v>33</v>
      </c>
      <c r="E114" s="3">
        <v>0</v>
      </c>
      <c r="F114" s="3">
        <v>0</v>
      </c>
      <c r="G114" s="3">
        <v>0</v>
      </c>
      <c r="H114" s="3">
        <v>0</v>
      </c>
      <c r="I114" s="3">
        <v>1</v>
      </c>
      <c r="J114" s="3">
        <v>1</v>
      </c>
      <c r="K114" s="3">
        <v>0</v>
      </c>
      <c r="L114" s="3">
        <f t="shared" si="9"/>
        <v>0.2857142857142857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f t="shared" si="10"/>
        <v>1</v>
      </c>
      <c r="S114" s="3">
        <f t="shared" si="11"/>
        <v>0.25</v>
      </c>
      <c r="T114" s="3" t="s">
        <v>166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5">
      <c r="A115" s="3">
        <v>114</v>
      </c>
      <c r="B115" s="3" t="s">
        <v>139</v>
      </c>
      <c r="C115" s="3">
        <v>2025</v>
      </c>
      <c r="D115" s="3" t="s">
        <v>24</v>
      </c>
      <c r="E115" s="3">
        <v>1</v>
      </c>
      <c r="F115" s="3">
        <v>1</v>
      </c>
      <c r="G115" s="3">
        <v>1</v>
      </c>
      <c r="H115" s="3">
        <v>0</v>
      </c>
      <c r="I115" s="3">
        <v>0</v>
      </c>
      <c r="J115" s="3">
        <v>1</v>
      </c>
      <c r="K115" s="3">
        <v>1</v>
      </c>
      <c r="L115" s="3">
        <f t="shared" si="9"/>
        <v>0.7142857142857143</v>
      </c>
      <c r="M115" s="3">
        <v>0.5</v>
      </c>
      <c r="N115" s="3">
        <v>1</v>
      </c>
      <c r="O115" s="3">
        <v>0</v>
      </c>
      <c r="P115" s="3">
        <v>0.75</v>
      </c>
      <c r="Q115" s="3">
        <v>0.75</v>
      </c>
      <c r="R115" s="3">
        <f t="shared" si="10"/>
        <v>0.4</v>
      </c>
      <c r="S115" s="3">
        <f t="shared" si="11"/>
        <v>0.75</v>
      </c>
      <c r="T115" s="3" t="s">
        <v>166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5">
      <c r="A116" s="3">
        <v>115</v>
      </c>
      <c r="B116" s="3" t="s">
        <v>140</v>
      </c>
      <c r="C116" s="3">
        <v>2025</v>
      </c>
      <c r="D116" s="3" t="s">
        <v>22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f t="shared" si="9"/>
        <v>1</v>
      </c>
      <c r="M116" s="3">
        <v>0.75</v>
      </c>
      <c r="N116" s="3">
        <v>1</v>
      </c>
      <c r="O116" s="3">
        <v>0.75</v>
      </c>
      <c r="P116" s="3">
        <v>0</v>
      </c>
      <c r="Q116" s="3">
        <v>0.25</v>
      </c>
      <c r="R116" s="3">
        <f t="shared" si="10"/>
        <v>0.45</v>
      </c>
      <c r="S116" s="3">
        <f t="shared" si="11"/>
        <v>1</v>
      </c>
      <c r="T116" s="3" t="s">
        <v>166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5">
      <c r="A117" s="3">
        <v>116</v>
      </c>
      <c r="B117" s="3" t="s">
        <v>141</v>
      </c>
      <c r="C117" s="3">
        <v>2025</v>
      </c>
      <c r="D117" s="3" t="s">
        <v>24</v>
      </c>
      <c r="E117" s="3">
        <v>0</v>
      </c>
      <c r="F117" s="3">
        <v>1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f t="shared" si="9"/>
        <v>0.2857142857142857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f t="shared" si="10"/>
        <v>1</v>
      </c>
      <c r="S117" s="3">
        <f t="shared" si="11"/>
        <v>0.25</v>
      </c>
      <c r="T117" s="3" t="s">
        <v>166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5">
      <c r="A118" s="3">
        <v>117</v>
      </c>
      <c r="B118" s="3" t="s">
        <v>142</v>
      </c>
      <c r="C118" s="3">
        <v>2025</v>
      </c>
      <c r="D118" s="3" t="s">
        <v>33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f t="shared" si="9"/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f t="shared" si="10"/>
        <v>1</v>
      </c>
      <c r="S118" s="3">
        <f t="shared" si="11"/>
        <v>0</v>
      </c>
      <c r="T118" s="3" t="s">
        <v>166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5">
      <c r="A119" s="3">
        <v>118</v>
      </c>
      <c r="B119" s="3" t="s">
        <v>143</v>
      </c>
      <c r="C119" s="3">
        <v>2025</v>
      </c>
      <c r="D119" s="3" t="s">
        <v>22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0</v>
      </c>
      <c r="L119" s="3">
        <f t="shared" si="9"/>
        <v>0.8571428571428571</v>
      </c>
      <c r="M119" s="3">
        <v>1</v>
      </c>
      <c r="N119" s="3">
        <v>0.25</v>
      </c>
      <c r="O119" s="3">
        <v>0.25</v>
      </c>
      <c r="P119" s="3">
        <v>0</v>
      </c>
      <c r="Q119" s="3">
        <v>0.5</v>
      </c>
      <c r="R119" s="3">
        <f t="shared" si="10"/>
        <v>0.6</v>
      </c>
      <c r="S119" s="3">
        <f t="shared" si="11"/>
        <v>1</v>
      </c>
      <c r="T119" s="3" t="s">
        <v>166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customHeight="1" x14ac:dyDescent="0.25">
      <c r="A120" s="3">
        <v>119</v>
      </c>
      <c r="B120" s="3" t="s">
        <v>144</v>
      </c>
      <c r="C120" s="3">
        <v>2025</v>
      </c>
      <c r="D120" s="3" t="s">
        <v>33</v>
      </c>
      <c r="E120" s="3">
        <v>0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1</v>
      </c>
      <c r="L120" s="3">
        <f t="shared" si="9"/>
        <v>0.42857142857142855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f t="shared" si="10"/>
        <v>1</v>
      </c>
      <c r="S120" s="3">
        <f t="shared" si="11"/>
        <v>0.25</v>
      </c>
      <c r="T120" s="3" t="s">
        <v>166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" customHeight="1" x14ac:dyDescent="0.25">
      <c r="A121" s="3">
        <v>120</v>
      </c>
      <c r="B121" s="3" t="s">
        <v>145</v>
      </c>
      <c r="C121" s="3">
        <v>2025</v>
      </c>
      <c r="D121" s="3" t="s">
        <v>24</v>
      </c>
      <c r="E121" s="3">
        <v>1</v>
      </c>
      <c r="F121" s="3">
        <v>1</v>
      </c>
      <c r="G121" s="3">
        <v>1</v>
      </c>
      <c r="H121" s="3">
        <v>0</v>
      </c>
      <c r="I121" s="3">
        <v>1</v>
      </c>
      <c r="J121" s="3">
        <v>1</v>
      </c>
      <c r="K121" s="3">
        <v>1</v>
      </c>
      <c r="L121" s="3">
        <f t="shared" si="9"/>
        <v>0.8571428571428571</v>
      </c>
      <c r="M121" s="3">
        <v>1</v>
      </c>
      <c r="N121" s="3">
        <v>0.25</v>
      </c>
      <c r="O121" s="3">
        <v>0.5</v>
      </c>
      <c r="P121" s="3">
        <v>0.25</v>
      </c>
      <c r="Q121" s="3">
        <v>0.75</v>
      </c>
      <c r="R121" s="3">
        <f t="shared" si="10"/>
        <v>0.45</v>
      </c>
      <c r="S121" s="3">
        <f t="shared" si="11"/>
        <v>1</v>
      </c>
      <c r="T121" s="3" t="s">
        <v>166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" customHeight="1" x14ac:dyDescent="0.25">
      <c r="A122" s="3">
        <v>121</v>
      </c>
      <c r="B122" s="3" t="s">
        <v>146</v>
      </c>
      <c r="C122" s="3">
        <v>2025</v>
      </c>
      <c r="D122" s="3" t="s">
        <v>24</v>
      </c>
      <c r="E122" s="3">
        <v>0</v>
      </c>
      <c r="F122" s="3">
        <v>1</v>
      </c>
      <c r="G122" s="3">
        <v>1</v>
      </c>
      <c r="H122" s="3">
        <v>0</v>
      </c>
      <c r="I122" s="3">
        <v>1</v>
      </c>
      <c r="J122" s="3">
        <v>1</v>
      </c>
      <c r="K122" s="3">
        <v>1</v>
      </c>
      <c r="L122" s="3">
        <f t="shared" si="9"/>
        <v>0.7142857142857143</v>
      </c>
      <c r="M122" s="3">
        <v>0</v>
      </c>
      <c r="N122" s="3">
        <v>0.25</v>
      </c>
      <c r="O122" s="3">
        <v>0.5</v>
      </c>
      <c r="P122" s="3">
        <v>0.5</v>
      </c>
      <c r="Q122" s="3">
        <v>0.25</v>
      </c>
      <c r="R122" s="3">
        <f t="shared" si="10"/>
        <v>0.7</v>
      </c>
      <c r="S122" s="3">
        <f t="shared" si="11"/>
        <v>0.75</v>
      </c>
      <c r="T122" s="3" t="s">
        <v>166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50"/>
  <sheetViews>
    <sheetView topLeftCell="A92" workbookViewId="0"/>
  </sheetViews>
  <sheetFormatPr defaultRowHeight="15" x14ac:dyDescent="0.25"/>
  <cols>
    <col min="1" max="1" width="6.28515625" customWidth="1"/>
    <col min="2" max="2" width="28" customWidth="1"/>
    <col min="3" max="3" width="56.28515625" customWidth="1"/>
    <col min="4" max="9" width="24" customWidth="1"/>
    <col min="10" max="10" width="17.7109375" customWidth="1"/>
    <col min="11" max="11" width="22.140625" customWidth="1"/>
    <col min="12" max="12" width="19.7109375" customWidth="1"/>
    <col min="13" max="13" width="24.7109375" customWidth="1"/>
    <col min="14" max="14" width="39.28515625" customWidth="1"/>
    <col min="15" max="15" width="17.42578125" customWidth="1"/>
    <col min="16" max="16" width="15.42578125" customWidth="1"/>
    <col min="17" max="17" width="15.85546875" customWidth="1"/>
    <col min="18" max="18" width="32" customWidth="1"/>
  </cols>
  <sheetData>
    <row r="1" spans="1:30" ht="15" customHeight="1" x14ac:dyDescent="0.25">
      <c r="A1" s="2" t="s">
        <v>14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 customHeight="1" x14ac:dyDescent="0.25">
      <c r="A2" s="3">
        <v>1</v>
      </c>
      <c r="B2" s="3" t="s">
        <v>20</v>
      </c>
      <c r="C2" s="3" t="s">
        <v>184</v>
      </c>
      <c r="D2" s="3" t="s">
        <v>185</v>
      </c>
      <c r="E2" s="3" t="s">
        <v>186</v>
      </c>
      <c r="F2" s="3" t="s">
        <v>187</v>
      </c>
      <c r="G2" s="6">
        <v>45698</v>
      </c>
      <c r="H2" s="6">
        <v>45705</v>
      </c>
      <c r="I2" s="3" t="s">
        <v>188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193</v>
      </c>
      <c r="O2" s="3">
        <v>1</v>
      </c>
      <c r="P2" s="3" t="s">
        <v>194</v>
      </c>
      <c r="Q2" s="6">
        <v>43510</v>
      </c>
      <c r="R2" s="3" t="s">
        <v>195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s="3">
        <v>2</v>
      </c>
      <c r="B3" s="3" t="s">
        <v>23</v>
      </c>
      <c r="C3" s="3" t="s">
        <v>196</v>
      </c>
      <c r="D3" s="3" t="s">
        <v>197</v>
      </c>
      <c r="E3" s="3" t="s">
        <v>186</v>
      </c>
      <c r="F3" s="3" t="s">
        <v>198</v>
      </c>
      <c r="G3" s="6">
        <v>45720</v>
      </c>
      <c r="H3" s="6">
        <v>45727</v>
      </c>
      <c r="I3" s="3" t="s">
        <v>199</v>
      </c>
      <c r="J3" s="3" t="s">
        <v>200</v>
      </c>
      <c r="K3" s="3" t="s">
        <v>201</v>
      </c>
      <c r="L3" s="3" t="s">
        <v>202</v>
      </c>
      <c r="M3" s="3" t="s">
        <v>203</v>
      </c>
      <c r="N3" s="3" t="s">
        <v>204</v>
      </c>
      <c r="O3" s="3" t="s">
        <v>203</v>
      </c>
      <c r="P3" s="3" t="s">
        <v>205</v>
      </c>
      <c r="Q3" s="6">
        <v>44895</v>
      </c>
      <c r="R3" s="3" t="s">
        <v>206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s="3">
        <v>3</v>
      </c>
      <c r="B4" s="3" t="s">
        <v>25</v>
      </c>
      <c r="C4" s="3" t="s">
        <v>196</v>
      </c>
      <c r="D4" s="3" t="s">
        <v>197</v>
      </c>
      <c r="E4" s="3" t="s">
        <v>186</v>
      </c>
      <c r="F4" s="3" t="s">
        <v>198</v>
      </c>
      <c r="G4" s="6">
        <v>45734</v>
      </c>
      <c r="H4" s="6">
        <v>45741</v>
      </c>
      <c r="I4" s="3" t="s">
        <v>207</v>
      </c>
      <c r="J4" s="3" t="s">
        <v>208</v>
      </c>
      <c r="K4" s="3" t="s">
        <v>201</v>
      </c>
      <c r="L4" s="3" t="s">
        <v>202</v>
      </c>
      <c r="M4" s="3" t="s">
        <v>203</v>
      </c>
      <c r="N4" s="3" t="s">
        <v>204</v>
      </c>
      <c r="O4" s="3" t="s">
        <v>203</v>
      </c>
      <c r="P4" s="3" t="s">
        <v>205</v>
      </c>
      <c r="Q4" s="6">
        <v>44986</v>
      </c>
      <c r="R4" s="3" t="s">
        <v>206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">
        <v>4</v>
      </c>
      <c r="B5" s="3" t="s">
        <v>26</v>
      </c>
      <c r="C5" s="3" t="s">
        <v>196</v>
      </c>
      <c r="D5" s="3" t="s">
        <v>197</v>
      </c>
      <c r="E5" s="3" t="s">
        <v>186</v>
      </c>
      <c r="F5" s="3" t="s">
        <v>198</v>
      </c>
      <c r="G5" s="6">
        <v>45755</v>
      </c>
      <c r="H5" s="6">
        <v>45762</v>
      </c>
      <c r="I5" s="3" t="s">
        <v>209</v>
      </c>
      <c r="J5" s="3" t="s">
        <v>210</v>
      </c>
      <c r="K5" s="3" t="s">
        <v>201</v>
      </c>
      <c r="L5" s="3" t="s">
        <v>202</v>
      </c>
      <c r="M5" s="3" t="s">
        <v>203</v>
      </c>
      <c r="N5" s="3" t="s">
        <v>204</v>
      </c>
      <c r="O5" s="3" t="s">
        <v>203</v>
      </c>
      <c r="P5" s="3" t="s">
        <v>205</v>
      </c>
      <c r="Q5" s="6">
        <v>44986</v>
      </c>
      <c r="R5" s="3" t="s">
        <v>206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" customHeight="1" x14ac:dyDescent="0.25">
      <c r="A6" s="3">
        <v>5</v>
      </c>
      <c r="B6" s="3" t="s">
        <v>27</v>
      </c>
      <c r="C6" s="3" t="s">
        <v>196</v>
      </c>
      <c r="D6" s="3" t="s">
        <v>197</v>
      </c>
      <c r="E6" s="3" t="s">
        <v>186</v>
      </c>
      <c r="F6" s="3" t="s">
        <v>198</v>
      </c>
      <c r="G6" s="6">
        <v>45769</v>
      </c>
      <c r="H6" s="6">
        <v>45776</v>
      </c>
      <c r="I6" s="3" t="s">
        <v>211</v>
      </c>
      <c r="J6" s="3" t="s">
        <v>189</v>
      </c>
      <c r="K6" s="3" t="s">
        <v>201</v>
      </c>
      <c r="L6" s="3" t="s">
        <v>202</v>
      </c>
      <c r="M6" s="3" t="s">
        <v>203</v>
      </c>
      <c r="N6" s="3" t="s">
        <v>204</v>
      </c>
      <c r="O6" s="3" t="s">
        <v>203</v>
      </c>
      <c r="P6" s="3" t="s">
        <v>205</v>
      </c>
      <c r="Q6" s="6">
        <v>44999</v>
      </c>
      <c r="R6" s="3" t="s">
        <v>206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" customHeight="1" x14ac:dyDescent="0.25">
      <c r="A7" s="3">
        <v>6</v>
      </c>
      <c r="B7" s="3" t="s">
        <v>28</v>
      </c>
      <c r="C7" s="3" t="s">
        <v>196</v>
      </c>
      <c r="D7" s="3" t="s">
        <v>197</v>
      </c>
      <c r="E7" s="3" t="s">
        <v>186</v>
      </c>
      <c r="F7" s="3" t="s">
        <v>198</v>
      </c>
      <c r="G7" s="6">
        <v>45783</v>
      </c>
      <c r="H7" s="6">
        <v>45790</v>
      </c>
      <c r="I7" s="3" t="s">
        <v>212</v>
      </c>
      <c r="J7" s="3" t="s">
        <v>200</v>
      </c>
      <c r="K7" s="3" t="s">
        <v>201</v>
      </c>
      <c r="L7" s="3" t="s">
        <v>202</v>
      </c>
      <c r="M7" s="3" t="s">
        <v>203</v>
      </c>
      <c r="N7" s="3" t="s">
        <v>204</v>
      </c>
      <c r="O7" s="3" t="s">
        <v>203</v>
      </c>
      <c r="P7" s="3" t="s">
        <v>205</v>
      </c>
      <c r="Q7" s="6">
        <v>45425</v>
      </c>
      <c r="R7" s="3" t="s">
        <v>213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 customHeight="1" x14ac:dyDescent="0.25">
      <c r="A8" s="3">
        <v>7</v>
      </c>
      <c r="B8" s="3" t="s">
        <v>29</v>
      </c>
      <c r="C8" s="3" t="s">
        <v>196</v>
      </c>
      <c r="D8" s="3" t="s">
        <v>197</v>
      </c>
      <c r="E8" s="3" t="s">
        <v>186</v>
      </c>
      <c r="F8" s="3" t="s">
        <v>198</v>
      </c>
      <c r="G8" s="6">
        <v>45797</v>
      </c>
      <c r="H8" s="6">
        <v>45804</v>
      </c>
      <c r="I8" s="3" t="s">
        <v>214</v>
      </c>
      <c r="J8" s="3" t="s">
        <v>208</v>
      </c>
      <c r="K8" s="3" t="s">
        <v>201</v>
      </c>
      <c r="L8" s="3" t="s">
        <v>202</v>
      </c>
      <c r="M8" s="3" t="s">
        <v>203</v>
      </c>
      <c r="N8" s="3" t="s">
        <v>204</v>
      </c>
      <c r="O8" s="3" t="s">
        <v>203</v>
      </c>
      <c r="P8" s="3" t="s">
        <v>205</v>
      </c>
      <c r="Q8" s="6">
        <v>45491</v>
      </c>
      <c r="R8" s="3" t="s">
        <v>213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" customHeight="1" x14ac:dyDescent="0.25">
      <c r="A9" s="3">
        <v>8</v>
      </c>
      <c r="B9" s="3" t="s">
        <v>30</v>
      </c>
      <c r="C9" s="3" t="s">
        <v>196</v>
      </c>
      <c r="D9" s="3" t="s">
        <v>197</v>
      </c>
      <c r="E9" s="3" t="s">
        <v>186</v>
      </c>
      <c r="F9" s="3" t="s">
        <v>198</v>
      </c>
      <c r="G9" s="6">
        <v>45811</v>
      </c>
      <c r="H9" s="6">
        <v>45818</v>
      </c>
      <c r="I9" s="3" t="s">
        <v>215</v>
      </c>
      <c r="J9" s="3" t="s">
        <v>210</v>
      </c>
      <c r="K9" s="3" t="s">
        <v>201</v>
      </c>
      <c r="L9" s="3" t="s">
        <v>202</v>
      </c>
      <c r="M9" s="3" t="s">
        <v>203</v>
      </c>
      <c r="N9" s="3" t="s">
        <v>204</v>
      </c>
      <c r="O9" s="3" t="s">
        <v>203</v>
      </c>
      <c r="P9" s="3" t="s">
        <v>205</v>
      </c>
      <c r="Q9" s="6">
        <v>45547</v>
      </c>
      <c r="R9" s="3" t="s">
        <v>213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 x14ac:dyDescent="0.25">
      <c r="A10" s="3">
        <v>9</v>
      </c>
      <c r="B10" s="3" t="s">
        <v>31</v>
      </c>
      <c r="C10" s="3" t="s">
        <v>196</v>
      </c>
      <c r="D10" s="3" t="s">
        <v>197</v>
      </c>
      <c r="E10" s="3" t="s">
        <v>186</v>
      </c>
      <c r="F10" s="3" t="s">
        <v>198</v>
      </c>
      <c r="G10" s="6">
        <v>45825</v>
      </c>
      <c r="H10" s="6">
        <v>45832</v>
      </c>
      <c r="I10" s="3" t="s">
        <v>216</v>
      </c>
      <c r="J10" s="3" t="s">
        <v>189</v>
      </c>
      <c r="K10" s="3" t="s">
        <v>201</v>
      </c>
      <c r="L10" s="3" t="s">
        <v>202</v>
      </c>
      <c r="M10" s="3" t="s">
        <v>203</v>
      </c>
      <c r="N10" s="3" t="s">
        <v>204</v>
      </c>
      <c r="O10" s="3" t="s">
        <v>203</v>
      </c>
      <c r="P10" s="3" t="s">
        <v>205</v>
      </c>
      <c r="Q10" s="6">
        <v>45547</v>
      </c>
      <c r="R10" s="3" t="s">
        <v>213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" customHeight="1" x14ac:dyDescent="0.25">
      <c r="A11" s="3">
        <v>10</v>
      </c>
      <c r="B11" s="3" t="s">
        <v>32</v>
      </c>
      <c r="C11" s="3" t="s">
        <v>196</v>
      </c>
      <c r="D11" s="3" t="s">
        <v>197</v>
      </c>
      <c r="E11" s="3" t="s">
        <v>186</v>
      </c>
      <c r="F11" s="3" t="s">
        <v>198</v>
      </c>
      <c r="G11" s="6">
        <v>45839</v>
      </c>
      <c r="H11" s="6">
        <v>45846</v>
      </c>
      <c r="I11" s="3" t="s">
        <v>217</v>
      </c>
      <c r="J11" s="3" t="s">
        <v>200</v>
      </c>
      <c r="K11" s="3" t="s">
        <v>201</v>
      </c>
      <c r="L11" s="3" t="s">
        <v>202</v>
      </c>
      <c r="M11" s="3" t="s">
        <v>203</v>
      </c>
      <c r="N11" s="3" t="s">
        <v>204</v>
      </c>
      <c r="O11" s="3" t="s">
        <v>203</v>
      </c>
      <c r="P11" s="3" t="s">
        <v>205</v>
      </c>
      <c r="Q11" s="6">
        <v>45631</v>
      </c>
      <c r="R11" s="3" t="s">
        <v>213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" customHeight="1" x14ac:dyDescent="0.25">
      <c r="A12" s="3">
        <v>11</v>
      </c>
      <c r="B12" s="3" t="s">
        <v>34</v>
      </c>
      <c r="C12" s="3" t="s">
        <v>196</v>
      </c>
      <c r="D12" s="3" t="s">
        <v>197</v>
      </c>
      <c r="E12" s="3" t="s">
        <v>186</v>
      </c>
      <c r="F12" s="3" t="s">
        <v>198</v>
      </c>
      <c r="G12" s="6">
        <v>45853</v>
      </c>
      <c r="H12" s="6">
        <v>45860</v>
      </c>
      <c r="I12" s="3" t="s">
        <v>218</v>
      </c>
      <c r="J12" s="3" t="s">
        <v>208</v>
      </c>
      <c r="K12" s="3" t="s">
        <v>201</v>
      </c>
      <c r="L12" s="3" t="s">
        <v>202</v>
      </c>
      <c r="M12" s="3" t="s">
        <v>203</v>
      </c>
      <c r="N12" s="3" t="s">
        <v>204</v>
      </c>
      <c r="O12" s="3" t="s">
        <v>203</v>
      </c>
      <c r="P12" s="3" t="s">
        <v>205</v>
      </c>
      <c r="Q12" s="6">
        <v>45631</v>
      </c>
      <c r="R12" s="3" t="s">
        <v>213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" customHeight="1" x14ac:dyDescent="0.25">
      <c r="A13" s="3">
        <v>12</v>
      </c>
      <c r="B13" s="3" t="s">
        <v>35</v>
      </c>
      <c r="C13" s="3" t="s">
        <v>196</v>
      </c>
      <c r="D13" s="3" t="s">
        <v>197</v>
      </c>
      <c r="E13" s="3" t="s">
        <v>186</v>
      </c>
      <c r="F13" s="3" t="s">
        <v>198</v>
      </c>
      <c r="G13" s="6">
        <v>45874</v>
      </c>
      <c r="H13" s="6">
        <v>45881</v>
      </c>
      <c r="I13" s="3" t="s">
        <v>219</v>
      </c>
      <c r="J13" s="3" t="s">
        <v>210</v>
      </c>
      <c r="K13" s="3" t="s">
        <v>201</v>
      </c>
      <c r="L13" s="3" t="s">
        <v>202</v>
      </c>
      <c r="M13" s="3" t="s">
        <v>203</v>
      </c>
      <c r="N13" s="3" t="s">
        <v>204</v>
      </c>
      <c r="O13" s="3" t="s">
        <v>203</v>
      </c>
      <c r="P13" s="3" t="s">
        <v>205</v>
      </c>
      <c r="Q13" s="6">
        <v>45688</v>
      </c>
      <c r="R13" s="3" t="s">
        <v>213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" customHeight="1" x14ac:dyDescent="0.25">
      <c r="A14" s="3">
        <v>13</v>
      </c>
      <c r="B14" s="3" t="s">
        <v>36</v>
      </c>
      <c r="C14" s="3" t="s">
        <v>196</v>
      </c>
      <c r="D14" s="3" t="s">
        <v>197</v>
      </c>
      <c r="E14" s="3" t="s">
        <v>186</v>
      </c>
      <c r="F14" s="3" t="s">
        <v>198</v>
      </c>
      <c r="G14" s="6">
        <v>45888</v>
      </c>
      <c r="H14" s="6">
        <v>45895</v>
      </c>
      <c r="I14" s="3" t="s">
        <v>220</v>
      </c>
      <c r="J14" s="3" t="s">
        <v>189</v>
      </c>
      <c r="K14" s="3" t="s">
        <v>201</v>
      </c>
      <c r="L14" s="3" t="s">
        <v>202</v>
      </c>
      <c r="M14" s="3" t="s">
        <v>203</v>
      </c>
      <c r="N14" s="3" t="s">
        <v>204</v>
      </c>
      <c r="O14" s="3" t="s">
        <v>203</v>
      </c>
      <c r="P14" s="3" t="s">
        <v>205</v>
      </c>
      <c r="Q14" s="6">
        <v>45688</v>
      </c>
      <c r="R14" s="3" t="s">
        <v>213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5">
      <c r="A15" s="3">
        <v>14</v>
      </c>
      <c r="B15" s="3" t="s">
        <v>37</v>
      </c>
      <c r="C15" s="3" t="s">
        <v>196</v>
      </c>
      <c r="D15" s="3" t="s">
        <v>221</v>
      </c>
      <c r="E15" s="3" t="s">
        <v>222</v>
      </c>
      <c r="F15" s="3" t="s">
        <v>223</v>
      </c>
      <c r="G15" s="6">
        <v>45823</v>
      </c>
      <c r="H15" s="6">
        <v>45830</v>
      </c>
      <c r="I15" s="3" t="s">
        <v>224</v>
      </c>
      <c r="J15" s="3" t="s">
        <v>200</v>
      </c>
      <c r="K15" s="3" t="s">
        <v>201</v>
      </c>
      <c r="L15" s="3" t="s">
        <v>202</v>
      </c>
      <c r="M15" s="3" t="s">
        <v>203</v>
      </c>
      <c r="N15" s="3" t="s">
        <v>204</v>
      </c>
      <c r="O15" s="3" t="s">
        <v>203</v>
      </c>
      <c r="P15" s="3" t="s">
        <v>205</v>
      </c>
      <c r="Q15" s="6">
        <v>45677</v>
      </c>
      <c r="R15" s="3" t="s">
        <v>225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5">
      <c r="A16" s="3">
        <v>15</v>
      </c>
      <c r="B16" s="3" t="s">
        <v>38</v>
      </c>
      <c r="C16" s="3" t="s">
        <v>196</v>
      </c>
      <c r="D16" s="3" t="s">
        <v>226</v>
      </c>
      <c r="E16" s="3" t="s">
        <v>222</v>
      </c>
      <c r="F16" s="3" t="s">
        <v>223</v>
      </c>
      <c r="G16" s="6">
        <v>45902</v>
      </c>
      <c r="H16" s="6">
        <v>45909</v>
      </c>
      <c r="I16" s="3" t="s">
        <v>227</v>
      </c>
      <c r="J16" s="3" t="s">
        <v>208</v>
      </c>
      <c r="K16" s="3" t="s">
        <v>201</v>
      </c>
      <c r="L16" s="3" t="s">
        <v>202</v>
      </c>
      <c r="M16" s="3" t="s">
        <v>203</v>
      </c>
      <c r="N16" s="3" t="s">
        <v>204</v>
      </c>
      <c r="O16" s="3" t="s">
        <v>203</v>
      </c>
      <c r="P16" s="3" t="s">
        <v>205</v>
      </c>
      <c r="Q16" s="6">
        <v>45259</v>
      </c>
      <c r="R16" s="3" t="s">
        <v>228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5">
      <c r="A17" s="3">
        <v>16</v>
      </c>
      <c r="B17" s="3" t="s">
        <v>39</v>
      </c>
      <c r="C17" s="3" t="s">
        <v>196</v>
      </c>
      <c r="D17" s="3" t="s">
        <v>226</v>
      </c>
      <c r="E17" s="3" t="s">
        <v>222</v>
      </c>
      <c r="F17" s="3" t="s">
        <v>223</v>
      </c>
      <c r="G17" s="6">
        <v>45916</v>
      </c>
      <c r="H17" s="6">
        <v>45923</v>
      </c>
      <c r="I17" s="3" t="s">
        <v>229</v>
      </c>
      <c r="J17" s="3" t="s">
        <v>210</v>
      </c>
      <c r="K17" s="3" t="s">
        <v>201</v>
      </c>
      <c r="L17" s="3" t="s">
        <v>202</v>
      </c>
      <c r="M17" s="3" t="s">
        <v>203</v>
      </c>
      <c r="N17" s="3" t="s">
        <v>204</v>
      </c>
      <c r="O17" s="3" t="s">
        <v>203</v>
      </c>
      <c r="P17" s="3" t="s">
        <v>205</v>
      </c>
      <c r="Q17" s="6">
        <v>45419</v>
      </c>
      <c r="R17" s="3" t="s">
        <v>228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5">
      <c r="A18" s="3">
        <v>17</v>
      </c>
      <c r="B18" s="3" t="s">
        <v>40</v>
      </c>
      <c r="C18" s="3" t="s">
        <v>196</v>
      </c>
      <c r="D18" s="3" t="s">
        <v>226</v>
      </c>
      <c r="E18" s="3" t="s">
        <v>222</v>
      </c>
      <c r="F18" s="3" t="s">
        <v>223</v>
      </c>
      <c r="G18" s="6">
        <v>45930</v>
      </c>
      <c r="H18" s="6">
        <v>45937</v>
      </c>
      <c r="I18" s="3" t="s">
        <v>230</v>
      </c>
      <c r="J18" s="3" t="s">
        <v>189</v>
      </c>
      <c r="K18" s="3" t="s">
        <v>201</v>
      </c>
      <c r="L18" s="3" t="s">
        <v>202</v>
      </c>
      <c r="M18" s="3" t="s">
        <v>203</v>
      </c>
      <c r="N18" s="3" t="s">
        <v>204</v>
      </c>
      <c r="O18" s="3" t="s">
        <v>203</v>
      </c>
      <c r="P18" s="3" t="s">
        <v>205</v>
      </c>
      <c r="Q18" s="6">
        <v>45457</v>
      </c>
      <c r="R18" s="3" t="s">
        <v>228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5">
      <c r="A19" s="3">
        <v>18</v>
      </c>
      <c r="B19" s="3" t="s">
        <v>41</v>
      </c>
      <c r="C19" s="3" t="s">
        <v>196</v>
      </c>
      <c r="D19" s="3" t="s">
        <v>226</v>
      </c>
      <c r="E19" s="3" t="s">
        <v>222</v>
      </c>
      <c r="F19" s="3" t="s">
        <v>223</v>
      </c>
      <c r="G19" s="6">
        <v>45944</v>
      </c>
      <c r="H19" s="6">
        <v>45951</v>
      </c>
      <c r="I19" s="3" t="s">
        <v>231</v>
      </c>
      <c r="J19" s="3" t="s">
        <v>200</v>
      </c>
      <c r="K19" s="3" t="s">
        <v>201</v>
      </c>
      <c r="L19" s="3" t="s">
        <v>202</v>
      </c>
      <c r="M19" s="3" t="s">
        <v>203</v>
      </c>
      <c r="N19" s="3" t="s">
        <v>204</v>
      </c>
      <c r="O19" s="3" t="s">
        <v>203</v>
      </c>
      <c r="P19" s="3" t="s">
        <v>205</v>
      </c>
      <c r="Q19" s="6">
        <v>45652</v>
      </c>
      <c r="R19" s="3" t="s">
        <v>228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5">
      <c r="A20" s="3">
        <v>19</v>
      </c>
      <c r="B20" s="3" t="s">
        <v>42</v>
      </c>
      <c r="C20" s="3" t="s">
        <v>196</v>
      </c>
      <c r="D20" s="3" t="s">
        <v>232</v>
      </c>
      <c r="E20" s="3" t="s">
        <v>233</v>
      </c>
      <c r="F20" s="3" t="s">
        <v>223</v>
      </c>
      <c r="G20" s="6">
        <v>45721</v>
      </c>
      <c r="H20" s="6">
        <v>45728</v>
      </c>
      <c r="I20" s="3" t="s">
        <v>234</v>
      </c>
      <c r="J20" s="3" t="s">
        <v>208</v>
      </c>
      <c r="K20" s="3" t="s">
        <v>201</v>
      </c>
      <c r="L20" s="3" t="s">
        <v>202</v>
      </c>
      <c r="M20" s="3" t="s">
        <v>203</v>
      </c>
      <c r="N20" s="3" t="s">
        <v>204</v>
      </c>
      <c r="O20" s="3" t="s">
        <v>203</v>
      </c>
      <c r="P20" s="3" t="s">
        <v>205</v>
      </c>
      <c r="Q20" s="6">
        <v>43384</v>
      </c>
      <c r="R20" s="3" t="s">
        <v>235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5">
      <c r="A21" s="3">
        <v>20</v>
      </c>
      <c r="B21" s="3" t="s">
        <v>43</v>
      </c>
      <c r="C21" s="3" t="s">
        <v>196</v>
      </c>
      <c r="D21" s="3" t="s">
        <v>232</v>
      </c>
      <c r="E21" s="3" t="s">
        <v>233</v>
      </c>
      <c r="F21" s="3" t="s">
        <v>223</v>
      </c>
      <c r="G21" s="6">
        <v>45735</v>
      </c>
      <c r="H21" s="6">
        <v>45742</v>
      </c>
      <c r="I21" s="3" t="s">
        <v>236</v>
      </c>
      <c r="J21" s="3" t="s">
        <v>210</v>
      </c>
      <c r="K21" s="3" t="s">
        <v>201</v>
      </c>
      <c r="L21" s="3" t="s">
        <v>202</v>
      </c>
      <c r="M21" s="3" t="s">
        <v>203</v>
      </c>
      <c r="N21" s="3" t="s">
        <v>204</v>
      </c>
      <c r="O21" s="3" t="s">
        <v>203</v>
      </c>
      <c r="P21" s="3" t="s">
        <v>205</v>
      </c>
      <c r="Q21" s="6">
        <v>43384</v>
      </c>
      <c r="R21" s="3" t="s">
        <v>235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5">
      <c r="A22" s="3">
        <v>21</v>
      </c>
      <c r="B22" s="3" t="s">
        <v>44</v>
      </c>
      <c r="C22" s="3" t="s">
        <v>196</v>
      </c>
      <c r="D22" s="3" t="s">
        <v>237</v>
      </c>
      <c r="E22" s="3" t="s">
        <v>233</v>
      </c>
      <c r="F22" s="3" t="s">
        <v>223</v>
      </c>
      <c r="G22" s="6">
        <v>45749</v>
      </c>
      <c r="H22" s="6">
        <v>45756</v>
      </c>
      <c r="I22" s="3" t="s">
        <v>238</v>
      </c>
      <c r="J22" s="3" t="s">
        <v>189</v>
      </c>
      <c r="K22" s="3" t="s">
        <v>201</v>
      </c>
      <c r="L22" s="3" t="s">
        <v>202</v>
      </c>
      <c r="M22" s="3" t="s">
        <v>203</v>
      </c>
      <c r="N22" s="3" t="s">
        <v>204</v>
      </c>
      <c r="O22" s="3" t="s">
        <v>203</v>
      </c>
      <c r="P22" s="3" t="s">
        <v>205</v>
      </c>
      <c r="Q22" s="6">
        <v>43761</v>
      </c>
      <c r="R22" s="3" t="s">
        <v>235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5">
      <c r="A23" s="3">
        <v>22</v>
      </c>
      <c r="B23" s="3" t="s">
        <v>45</v>
      </c>
      <c r="C23" s="3" t="s">
        <v>196</v>
      </c>
      <c r="D23" s="3" t="s">
        <v>237</v>
      </c>
      <c r="E23" s="3" t="s">
        <v>233</v>
      </c>
      <c r="F23" s="3" t="s">
        <v>223</v>
      </c>
      <c r="G23" s="6">
        <v>45763</v>
      </c>
      <c r="H23" s="6">
        <v>45770</v>
      </c>
      <c r="I23" s="3" t="s">
        <v>239</v>
      </c>
      <c r="J23" s="3" t="s">
        <v>200</v>
      </c>
      <c r="K23" s="3" t="s">
        <v>201</v>
      </c>
      <c r="L23" s="3" t="s">
        <v>202</v>
      </c>
      <c r="M23" s="3" t="s">
        <v>203</v>
      </c>
      <c r="N23" s="3" t="s">
        <v>204</v>
      </c>
      <c r="O23" s="3" t="s">
        <v>203</v>
      </c>
      <c r="P23" s="3" t="s">
        <v>205</v>
      </c>
      <c r="Q23" s="6">
        <v>43761</v>
      </c>
      <c r="R23" s="3" t="s">
        <v>235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5">
      <c r="A24" s="3">
        <v>23</v>
      </c>
      <c r="B24" s="3" t="s">
        <v>46</v>
      </c>
      <c r="C24" s="3" t="s">
        <v>196</v>
      </c>
      <c r="D24" s="3" t="s">
        <v>237</v>
      </c>
      <c r="E24" s="3" t="s">
        <v>233</v>
      </c>
      <c r="F24" s="3" t="s">
        <v>223</v>
      </c>
      <c r="G24" s="6">
        <v>45777</v>
      </c>
      <c r="H24" s="6">
        <v>45784</v>
      </c>
      <c r="I24" s="3" t="s">
        <v>240</v>
      </c>
      <c r="J24" s="3" t="s">
        <v>208</v>
      </c>
      <c r="K24" s="3" t="s">
        <v>201</v>
      </c>
      <c r="L24" s="3" t="s">
        <v>202</v>
      </c>
      <c r="M24" s="3" t="s">
        <v>203</v>
      </c>
      <c r="N24" s="3" t="s">
        <v>204</v>
      </c>
      <c r="O24" s="3" t="s">
        <v>203</v>
      </c>
      <c r="P24" s="3" t="s">
        <v>205</v>
      </c>
      <c r="Q24" s="6">
        <v>43761</v>
      </c>
      <c r="R24" s="3" t="s">
        <v>235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5">
      <c r="A25" s="3">
        <v>24</v>
      </c>
      <c r="B25" s="3" t="s">
        <v>47</v>
      </c>
      <c r="C25" s="3" t="s">
        <v>196</v>
      </c>
      <c r="D25" s="3" t="s">
        <v>237</v>
      </c>
      <c r="E25" s="3" t="s">
        <v>233</v>
      </c>
      <c r="F25" s="3" t="s">
        <v>223</v>
      </c>
      <c r="G25" s="6">
        <v>45791</v>
      </c>
      <c r="H25" s="6">
        <v>45798</v>
      </c>
      <c r="I25" s="3" t="s">
        <v>241</v>
      </c>
      <c r="J25" s="3" t="s">
        <v>210</v>
      </c>
      <c r="K25" s="3" t="s">
        <v>201</v>
      </c>
      <c r="L25" s="3" t="s">
        <v>202</v>
      </c>
      <c r="M25" s="3" t="s">
        <v>203</v>
      </c>
      <c r="N25" s="3" t="s">
        <v>204</v>
      </c>
      <c r="O25" s="3" t="s">
        <v>203</v>
      </c>
      <c r="P25" s="3" t="s">
        <v>205</v>
      </c>
      <c r="Q25" s="6">
        <v>43761</v>
      </c>
      <c r="R25" s="3" t="s">
        <v>235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5">
      <c r="A26" s="3">
        <v>25</v>
      </c>
      <c r="B26" s="3" t="s">
        <v>48</v>
      </c>
      <c r="C26" s="3" t="s">
        <v>196</v>
      </c>
      <c r="D26" s="3" t="s">
        <v>237</v>
      </c>
      <c r="E26" s="3" t="s">
        <v>233</v>
      </c>
      <c r="F26" s="3" t="s">
        <v>223</v>
      </c>
      <c r="G26" s="6">
        <v>45805</v>
      </c>
      <c r="H26" s="6">
        <v>45812</v>
      </c>
      <c r="I26" s="3" t="s">
        <v>242</v>
      </c>
      <c r="J26" s="3" t="s">
        <v>189</v>
      </c>
      <c r="K26" s="3" t="s">
        <v>201</v>
      </c>
      <c r="L26" s="3" t="s">
        <v>202</v>
      </c>
      <c r="M26" s="3" t="s">
        <v>203</v>
      </c>
      <c r="N26" s="3" t="s">
        <v>204</v>
      </c>
      <c r="O26" s="3" t="s">
        <v>203</v>
      </c>
      <c r="P26" s="3" t="s">
        <v>205</v>
      </c>
      <c r="Q26" s="6">
        <v>43761</v>
      </c>
      <c r="R26" s="3" t="s">
        <v>235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5">
      <c r="A27" s="3">
        <v>26</v>
      </c>
      <c r="B27" s="3" t="s">
        <v>49</v>
      </c>
      <c r="C27" s="3" t="s">
        <v>196</v>
      </c>
      <c r="D27" s="3" t="s">
        <v>243</v>
      </c>
      <c r="E27" s="3" t="s">
        <v>244</v>
      </c>
      <c r="F27" s="3" t="s">
        <v>223</v>
      </c>
      <c r="G27" s="6">
        <v>45819</v>
      </c>
      <c r="H27" s="6">
        <v>45826</v>
      </c>
      <c r="I27" s="3" t="s">
        <v>245</v>
      </c>
      <c r="J27" s="3" t="s">
        <v>200</v>
      </c>
      <c r="K27" s="3" t="s">
        <v>201</v>
      </c>
      <c r="L27" s="3" t="s">
        <v>202</v>
      </c>
      <c r="M27" s="3" t="s">
        <v>203</v>
      </c>
      <c r="N27" s="3" t="s">
        <v>204</v>
      </c>
      <c r="O27" s="3" t="s">
        <v>203</v>
      </c>
      <c r="P27" s="3" t="s">
        <v>205</v>
      </c>
      <c r="Q27" s="6">
        <v>45196</v>
      </c>
      <c r="R27" s="3" t="s">
        <v>225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5">
      <c r="A28" s="3">
        <v>27</v>
      </c>
      <c r="B28" s="3" t="s">
        <v>50</v>
      </c>
      <c r="C28" s="3" t="s">
        <v>196</v>
      </c>
      <c r="D28" s="3" t="s">
        <v>246</v>
      </c>
      <c r="E28" s="3" t="s">
        <v>247</v>
      </c>
      <c r="F28" s="3" t="s">
        <v>223</v>
      </c>
      <c r="G28" s="6">
        <v>45797</v>
      </c>
      <c r="H28" s="6">
        <v>45804</v>
      </c>
      <c r="I28" s="3" t="s">
        <v>248</v>
      </c>
      <c r="J28" s="3" t="s">
        <v>208</v>
      </c>
      <c r="K28" s="3" t="s">
        <v>201</v>
      </c>
      <c r="L28" s="3" t="s">
        <v>202</v>
      </c>
      <c r="M28" s="3" t="s">
        <v>203</v>
      </c>
      <c r="N28" s="3" t="s">
        <v>204</v>
      </c>
      <c r="O28" s="3" t="s">
        <v>203</v>
      </c>
      <c r="P28" s="3" t="s">
        <v>205</v>
      </c>
      <c r="Q28" s="6">
        <v>45125</v>
      </c>
      <c r="R28" s="3" t="s">
        <v>249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5">
      <c r="A29" s="3">
        <v>28</v>
      </c>
      <c r="B29" s="3" t="s">
        <v>51</v>
      </c>
      <c r="C29" s="3" t="s">
        <v>196</v>
      </c>
      <c r="D29" s="3" t="s">
        <v>197</v>
      </c>
      <c r="E29" s="3" t="s">
        <v>186</v>
      </c>
      <c r="F29" s="3" t="s">
        <v>198</v>
      </c>
      <c r="G29" s="6">
        <v>45847</v>
      </c>
      <c r="H29" s="6">
        <v>45854</v>
      </c>
      <c r="I29" s="3" t="s">
        <v>250</v>
      </c>
      <c r="J29" s="3" t="s">
        <v>210</v>
      </c>
      <c r="K29" s="3" t="s">
        <v>201</v>
      </c>
      <c r="L29" s="3" t="s">
        <v>202</v>
      </c>
      <c r="M29" s="3" t="s">
        <v>203</v>
      </c>
      <c r="N29" s="3" t="s">
        <v>204</v>
      </c>
      <c r="O29" s="3" t="s">
        <v>203</v>
      </c>
      <c r="P29" s="3" t="s">
        <v>205</v>
      </c>
      <c r="Q29" s="6">
        <v>45484</v>
      </c>
      <c r="R29" s="3" t="s">
        <v>213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5">
      <c r="A30" s="3">
        <v>29</v>
      </c>
      <c r="B30" s="3" t="s">
        <v>52</v>
      </c>
      <c r="C30" s="3" t="s">
        <v>196</v>
      </c>
      <c r="D30" s="3" t="s">
        <v>251</v>
      </c>
      <c r="E30" s="3" t="s">
        <v>252</v>
      </c>
      <c r="F30" s="3" t="s">
        <v>198</v>
      </c>
      <c r="G30" s="6">
        <v>45861</v>
      </c>
      <c r="H30" s="6">
        <v>45868</v>
      </c>
      <c r="I30" s="3" t="s">
        <v>253</v>
      </c>
      <c r="J30" s="3" t="s">
        <v>189</v>
      </c>
      <c r="K30" s="3" t="s">
        <v>201</v>
      </c>
      <c r="L30" s="3" t="s">
        <v>202</v>
      </c>
      <c r="M30" s="3" t="s">
        <v>203</v>
      </c>
      <c r="N30" s="3" t="s">
        <v>204</v>
      </c>
      <c r="O30" s="3" t="s">
        <v>203</v>
      </c>
      <c r="P30" s="3" t="s">
        <v>205</v>
      </c>
      <c r="Q30" s="6">
        <v>45566</v>
      </c>
      <c r="R30" s="3" t="s">
        <v>213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5">
      <c r="A31" s="3">
        <v>30</v>
      </c>
      <c r="B31" s="3" t="s">
        <v>53</v>
      </c>
      <c r="C31" s="3" t="s">
        <v>196</v>
      </c>
      <c r="D31" s="3" t="s">
        <v>254</v>
      </c>
      <c r="E31" s="3" t="s">
        <v>255</v>
      </c>
      <c r="F31" s="3" t="s">
        <v>198</v>
      </c>
      <c r="G31" s="6">
        <v>45875</v>
      </c>
      <c r="H31" s="6">
        <v>45882</v>
      </c>
      <c r="I31" s="3" t="s">
        <v>256</v>
      </c>
      <c r="J31" s="3" t="s">
        <v>200</v>
      </c>
      <c r="K31" s="3" t="s">
        <v>201</v>
      </c>
      <c r="L31" s="3" t="s">
        <v>202</v>
      </c>
      <c r="M31" s="3" t="s">
        <v>203</v>
      </c>
      <c r="N31" s="3" t="s">
        <v>204</v>
      </c>
      <c r="O31" s="3" t="s">
        <v>203</v>
      </c>
      <c r="P31" s="3" t="s">
        <v>205</v>
      </c>
      <c r="Q31" s="6">
        <v>45366</v>
      </c>
      <c r="R31" s="3" t="s">
        <v>213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5">
      <c r="A32" s="3">
        <v>31</v>
      </c>
      <c r="B32" s="3" t="s">
        <v>54</v>
      </c>
      <c r="C32" s="3" t="s">
        <v>196</v>
      </c>
      <c r="D32" s="3" t="s">
        <v>257</v>
      </c>
      <c r="E32" s="3" t="s">
        <v>255</v>
      </c>
      <c r="F32" s="3" t="s">
        <v>258</v>
      </c>
      <c r="G32" s="6">
        <v>45889</v>
      </c>
      <c r="H32" s="6">
        <v>45896</v>
      </c>
      <c r="I32" s="3" t="s">
        <v>259</v>
      </c>
      <c r="J32" s="3" t="s">
        <v>208</v>
      </c>
      <c r="K32" s="3" t="s">
        <v>201</v>
      </c>
      <c r="L32" s="3" t="s">
        <v>202</v>
      </c>
      <c r="M32" s="3" t="s">
        <v>203</v>
      </c>
      <c r="N32" s="3" t="s">
        <v>204</v>
      </c>
      <c r="O32" s="3" t="s">
        <v>203</v>
      </c>
      <c r="P32" s="3" t="s">
        <v>205</v>
      </c>
      <c r="Q32" s="6">
        <v>44959</v>
      </c>
      <c r="R32" s="3" t="s">
        <v>213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5">
      <c r="A33" s="3">
        <v>32</v>
      </c>
      <c r="B33" s="3" t="s">
        <v>55</v>
      </c>
      <c r="C33" s="3" t="s">
        <v>196</v>
      </c>
      <c r="D33" s="3" t="s">
        <v>260</v>
      </c>
      <c r="E33" s="3" t="s">
        <v>261</v>
      </c>
      <c r="F33" s="3" t="s">
        <v>198</v>
      </c>
      <c r="G33" s="6">
        <v>45903</v>
      </c>
      <c r="H33" s="6">
        <v>45910</v>
      </c>
      <c r="I33" s="3" t="s">
        <v>262</v>
      </c>
      <c r="J33" s="3" t="s">
        <v>210</v>
      </c>
      <c r="K33" s="3" t="s">
        <v>201</v>
      </c>
      <c r="L33" s="3" t="s">
        <v>202</v>
      </c>
      <c r="M33" s="3" t="s">
        <v>203</v>
      </c>
      <c r="N33" s="3" t="s">
        <v>204</v>
      </c>
      <c r="O33" s="3" t="s">
        <v>203</v>
      </c>
      <c r="P33" s="3" t="s">
        <v>205</v>
      </c>
      <c r="Q33" s="6">
        <v>44774</v>
      </c>
      <c r="R33" s="3" t="s">
        <v>213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5">
      <c r="A34" s="3">
        <v>33</v>
      </c>
      <c r="B34" s="3" t="s">
        <v>56</v>
      </c>
      <c r="C34" s="3" t="s">
        <v>196</v>
      </c>
      <c r="D34" s="3" t="s">
        <v>263</v>
      </c>
      <c r="E34" s="3" t="s">
        <v>247</v>
      </c>
      <c r="F34" s="3" t="s">
        <v>198</v>
      </c>
      <c r="G34" s="6">
        <v>45917</v>
      </c>
      <c r="H34" s="6">
        <v>45924</v>
      </c>
      <c r="I34" s="3" t="s">
        <v>264</v>
      </c>
      <c r="J34" s="3" t="s">
        <v>189</v>
      </c>
      <c r="K34" s="3" t="s">
        <v>201</v>
      </c>
      <c r="L34" s="3" t="s">
        <v>202</v>
      </c>
      <c r="M34" s="3" t="s">
        <v>203</v>
      </c>
      <c r="N34" s="3" t="s">
        <v>204</v>
      </c>
      <c r="O34" s="3" t="s">
        <v>203</v>
      </c>
      <c r="P34" s="3" t="s">
        <v>205</v>
      </c>
      <c r="Q34" s="6">
        <v>45428</v>
      </c>
      <c r="R34" s="3" t="s">
        <v>213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5">
      <c r="A35" s="3">
        <v>34</v>
      </c>
      <c r="B35" s="3" t="s">
        <v>57</v>
      </c>
      <c r="C35" s="3" t="s">
        <v>196</v>
      </c>
      <c r="D35" s="3" t="s">
        <v>265</v>
      </c>
      <c r="E35" s="3" t="s">
        <v>247</v>
      </c>
      <c r="F35" s="3" t="s">
        <v>223</v>
      </c>
      <c r="G35" s="6">
        <v>45931</v>
      </c>
      <c r="H35" s="6">
        <v>45938</v>
      </c>
      <c r="I35" s="3" t="s">
        <v>266</v>
      </c>
      <c r="J35" s="3" t="s">
        <v>200</v>
      </c>
      <c r="K35" s="3" t="s">
        <v>201</v>
      </c>
      <c r="L35" s="3" t="s">
        <v>202</v>
      </c>
      <c r="M35" s="3" t="s">
        <v>203</v>
      </c>
      <c r="N35" s="3" t="s">
        <v>204</v>
      </c>
      <c r="O35" s="3" t="s">
        <v>203</v>
      </c>
      <c r="P35" s="3" t="s">
        <v>205</v>
      </c>
      <c r="Q35" s="6">
        <v>45400</v>
      </c>
      <c r="R35" s="3" t="s">
        <v>228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5">
      <c r="A36" s="3">
        <v>35</v>
      </c>
      <c r="B36" s="3" t="s">
        <v>58</v>
      </c>
      <c r="C36" s="3" t="s">
        <v>196</v>
      </c>
      <c r="D36" s="3" t="s">
        <v>263</v>
      </c>
      <c r="E36" s="3" t="s">
        <v>247</v>
      </c>
      <c r="F36" s="3" t="s">
        <v>198</v>
      </c>
      <c r="G36" s="6">
        <v>45945</v>
      </c>
      <c r="H36" s="6">
        <v>45952</v>
      </c>
      <c r="I36" s="3" t="s">
        <v>267</v>
      </c>
      <c r="J36" s="3" t="s">
        <v>208</v>
      </c>
      <c r="K36" s="3" t="s">
        <v>201</v>
      </c>
      <c r="L36" s="3" t="s">
        <v>202</v>
      </c>
      <c r="M36" s="3" t="s">
        <v>203</v>
      </c>
      <c r="N36" s="3" t="s">
        <v>204</v>
      </c>
      <c r="O36" s="3" t="s">
        <v>203</v>
      </c>
      <c r="P36" s="3" t="s">
        <v>205</v>
      </c>
      <c r="Q36" s="6">
        <v>45413</v>
      </c>
      <c r="R36" s="3" t="s">
        <v>213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5">
      <c r="A37" s="3">
        <v>36</v>
      </c>
      <c r="B37" s="3" t="s">
        <v>59</v>
      </c>
      <c r="C37" s="3" t="s">
        <v>196</v>
      </c>
      <c r="D37" s="3" t="s">
        <v>263</v>
      </c>
      <c r="E37" s="3" t="s">
        <v>247</v>
      </c>
      <c r="F37" s="3" t="s">
        <v>198</v>
      </c>
      <c r="G37" s="6">
        <v>45959</v>
      </c>
      <c r="H37" s="6">
        <v>45966</v>
      </c>
      <c r="I37" s="3" t="s">
        <v>268</v>
      </c>
      <c r="J37" s="3" t="s">
        <v>210</v>
      </c>
      <c r="K37" s="3" t="s">
        <v>201</v>
      </c>
      <c r="L37" s="3" t="s">
        <v>202</v>
      </c>
      <c r="M37" s="3" t="s">
        <v>203</v>
      </c>
      <c r="N37" s="3" t="s">
        <v>204</v>
      </c>
      <c r="O37" s="3" t="s">
        <v>203</v>
      </c>
      <c r="P37" s="3" t="s">
        <v>205</v>
      </c>
      <c r="Q37" s="6">
        <v>45047</v>
      </c>
      <c r="R37" s="3" t="s">
        <v>213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5">
      <c r="A38" s="3">
        <v>37</v>
      </c>
      <c r="B38" s="3" t="s">
        <v>60</v>
      </c>
      <c r="C38" s="3" t="s">
        <v>196</v>
      </c>
      <c r="D38" s="3" t="s">
        <v>254</v>
      </c>
      <c r="E38" s="3" t="s">
        <v>255</v>
      </c>
      <c r="F38" s="3" t="s">
        <v>198</v>
      </c>
      <c r="G38" s="6">
        <v>45973</v>
      </c>
      <c r="H38" s="6">
        <v>45980</v>
      </c>
      <c r="I38" s="3" t="s">
        <v>269</v>
      </c>
      <c r="J38" s="3" t="s">
        <v>189</v>
      </c>
      <c r="K38" s="3" t="s">
        <v>201</v>
      </c>
      <c r="L38" s="3" t="s">
        <v>202</v>
      </c>
      <c r="M38" s="3" t="s">
        <v>203</v>
      </c>
      <c r="N38" s="3" t="s">
        <v>204</v>
      </c>
      <c r="O38" s="3" t="s">
        <v>203</v>
      </c>
      <c r="P38" s="3" t="s">
        <v>205</v>
      </c>
      <c r="Q38" s="6">
        <v>45139</v>
      </c>
      <c r="R38" s="3" t="s">
        <v>213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5">
      <c r="A39" s="3">
        <v>38</v>
      </c>
      <c r="B39" s="3" t="s">
        <v>61</v>
      </c>
      <c r="C39" s="3" t="s">
        <v>196</v>
      </c>
      <c r="D39" s="3" t="s">
        <v>270</v>
      </c>
      <c r="E39" s="3" t="s">
        <v>247</v>
      </c>
      <c r="F39" s="3" t="s">
        <v>223</v>
      </c>
      <c r="G39" s="6">
        <v>45987</v>
      </c>
      <c r="H39" s="6">
        <v>45994</v>
      </c>
      <c r="I39" s="3" t="s">
        <v>271</v>
      </c>
      <c r="J39" s="3" t="s">
        <v>200</v>
      </c>
      <c r="K39" s="3" t="s">
        <v>201</v>
      </c>
      <c r="L39" s="3" t="s">
        <v>202</v>
      </c>
      <c r="M39" s="3" t="s">
        <v>203</v>
      </c>
      <c r="N39" s="3" t="s">
        <v>204</v>
      </c>
      <c r="O39" s="3" t="s">
        <v>203</v>
      </c>
      <c r="P39" s="3" t="s">
        <v>205</v>
      </c>
      <c r="Q39" s="6">
        <v>44652</v>
      </c>
      <c r="R39" s="3" t="s">
        <v>213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5">
      <c r="A40" s="3">
        <v>39</v>
      </c>
      <c r="B40" s="3" t="s">
        <v>62</v>
      </c>
      <c r="C40" s="3" t="s">
        <v>196</v>
      </c>
      <c r="D40" s="3" t="s">
        <v>254</v>
      </c>
      <c r="E40" s="3" t="s">
        <v>255</v>
      </c>
      <c r="F40" s="3" t="s">
        <v>198</v>
      </c>
      <c r="G40" s="6">
        <v>46001</v>
      </c>
      <c r="H40" s="6">
        <v>46008</v>
      </c>
      <c r="I40" s="3" t="s">
        <v>272</v>
      </c>
      <c r="J40" s="3" t="s">
        <v>208</v>
      </c>
      <c r="K40" s="3" t="s">
        <v>201</v>
      </c>
      <c r="L40" s="3" t="s">
        <v>202</v>
      </c>
      <c r="M40" s="3" t="s">
        <v>203</v>
      </c>
      <c r="N40" s="3" t="s">
        <v>204</v>
      </c>
      <c r="O40" s="3" t="s">
        <v>203</v>
      </c>
      <c r="P40" s="3" t="s">
        <v>205</v>
      </c>
      <c r="Q40" s="6">
        <v>45444</v>
      </c>
      <c r="R40" s="3" t="s">
        <v>213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5">
      <c r="A41" s="3">
        <v>40</v>
      </c>
      <c r="B41" s="3" t="s">
        <v>62</v>
      </c>
      <c r="C41" s="3" t="s">
        <v>196</v>
      </c>
      <c r="D41" s="3" t="s">
        <v>254</v>
      </c>
      <c r="E41" s="3" t="s">
        <v>255</v>
      </c>
      <c r="F41" s="3" t="s">
        <v>198</v>
      </c>
      <c r="G41" s="6">
        <v>46009</v>
      </c>
      <c r="H41" s="6">
        <v>46015</v>
      </c>
      <c r="I41" s="3" t="s">
        <v>273</v>
      </c>
      <c r="J41" s="3" t="s">
        <v>210</v>
      </c>
      <c r="K41" s="3" t="s">
        <v>201</v>
      </c>
      <c r="L41" s="3" t="s">
        <v>202</v>
      </c>
      <c r="M41" s="3" t="s">
        <v>203</v>
      </c>
      <c r="N41" s="3" t="s">
        <v>204</v>
      </c>
      <c r="O41" s="3" t="s">
        <v>203</v>
      </c>
      <c r="P41" s="3" t="s">
        <v>205</v>
      </c>
      <c r="Q41" s="6">
        <v>45444</v>
      </c>
      <c r="R41" s="3" t="s">
        <v>274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5">
      <c r="A42" s="3">
        <v>41</v>
      </c>
      <c r="B42" s="3" t="s">
        <v>63</v>
      </c>
      <c r="C42" s="3" t="s">
        <v>196</v>
      </c>
      <c r="D42" s="3" t="s">
        <v>275</v>
      </c>
      <c r="E42" s="3" t="s">
        <v>276</v>
      </c>
      <c r="F42" s="3" t="s">
        <v>198</v>
      </c>
      <c r="G42" s="6">
        <v>45757</v>
      </c>
      <c r="H42" s="6">
        <v>45764</v>
      </c>
      <c r="I42" s="3" t="s">
        <v>277</v>
      </c>
      <c r="J42" s="3" t="s">
        <v>189</v>
      </c>
      <c r="K42" s="3" t="s">
        <v>201</v>
      </c>
      <c r="L42" s="3" t="s">
        <v>202</v>
      </c>
      <c r="M42" s="3" t="s">
        <v>203</v>
      </c>
      <c r="N42" s="3" t="s">
        <v>204</v>
      </c>
      <c r="O42" s="3" t="s">
        <v>203</v>
      </c>
      <c r="P42" s="3" t="s">
        <v>205</v>
      </c>
      <c r="Q42" s="6">
        <v>45453</v>
      </c>
      <c r="R42" s="3" t="s">
        <v>213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5">
      <c r="A43" s="3">
        <v>42</v>
      </c>
      <c r="B43" s="3" t="s">
        <v>64</v>
      </c>
      <c r="C43" s="3" t="s">
        <v>196</v>
      </c>
      <c r="D43" s="3" t="s">
        <v>275</v>
      </c>
      <c r="E43" s="3" t="s">
        <v>276</v>
      </c>
      <c r="F43" s="3" t="s">
        <v>198</v>
      </c>
      <c r="G43" s="6">
        <v>45792</v>
      </c>
      <c r="H43" s="6">
        <v>45799</v>
      </c>
      <c r="I43" s="3" t="s">
        <v>278</v>
      </c>
      <c r="J43" s="3" t="s">
        <v>200</v>
      </c>
      <c r="K43" s="3" t="s">
        <v>201</v>
      </c>
      <c r="L43" s="3" t="s">
        <v>202</v>
      </c>
      <c r="M43" s="3" t="s">
        <v>203</v>
      </c>
      <c r="N43" s="3" t="s">
        <v>204</v>
      </c>
      <c r="O43" s="3" t="s">
        <v>203</v>
      </c>
      <c r="P43" s="3" t="s">
        <v>205</v>
      </c>
      <c r="Q43" s="6">
        <v>45365</v>
      </c>
      <c r="R43" s="3" t="s">
        <v>213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5">
      <c r="A44" s="3">
        <v>43</v>
      </c>
      <c r="B44" s="3" t="s">
        <v>65</v>
      </c>
      <c r="C44" s="3" t="s">
        <v>196</v>
      </c>
      <c r="D44" s="3" t="s">
        <v>275</v>
      </c>
      <c r="E44" s="3" t="s">
        <v>276</v>
      </c>
      <c r="F44" s="3" t="s">
        <v>198</v>
      </c>
      <c r="G44" s="6">
        <v>45813</v>
      </c>
      <c r="H44" s="6">
        <v>45820</v>
      </c>
      <c r="I44" s="3" t="s">
        <v>279</v>
      </c>
      <c r="J44" s="3" t="s">
        <v>208</v>
      </c>
      <c r="K44" s="3" t="s">
        <v>201</v>
      </c>
      <c r="L44" s="3" t="s">
        <v>202</v>
      </c>
      <c r="M44" s="3" t="s">
        <v>203</v>
      </c>
      <c r="N44" s="3" t="s">
        <v>204</v>
      </c>
      <c r="O44" s="3" t="s">
        <v>203</v>
      </c>
      <c r="P44" s="3" t="s">
        <v>205</v>
      </c>
      <c r="Q44" s="6">
        <v>45352</v>
      </c>
      <c r="R44" s="3" t="s">
        <v>213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5">
      <c r="A45" s="3">
        <v>44</v>
      </c>
      <c r="B45" s="3" t="s">
        <v>66</v>
      </c>
      <c r="C45" s="3" t="s">
        <v>196</v>
      </c>
      <c r="D45" s="3" t="s">
        <v>275</v>
      </c>
      <c r="E45" s="3" t="s">
        <v>276</v>
      </c>
      <c r="F45" s="3" t="s">
        <v>198</v>
      </c>
      <c r="G45" s="6">
        <v>45846</v>
      </c>
      <c r="H45" s="6">
        <v>45853</v>
      </c>
      <c r="I45" s="3" t="s">
        <v>280</v>
      </c>
      <c r="J45" s="3" t="s">
        <v>210</v>
      </c>
      <c r="K45" s="3" t="s">
        <v>201</v>
      </c>
      <c r="L45" s="3" t="s">
        <v>202</v>
      </c>
      <c r="M45" s="3" t="s">
        <v>203</v>
      </c>
      <c r="N45" s="3" t="s">
        <v>204</v>
      </c>
      <c r="O45" s="3" t="s">
        <v>203</v>
      </c>
      <c r="P45" s="3" t="s">
        <v>205</v>
      </c>
      <c r="Q45" s="6">
        <v>45383</v>
      </c>
      <c r="R45" s="3" t="s">
        <v>213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5">
      <c r="A46" s="3">
        <v>45</v>
      </c>
      <c r="B46" s="3" t="s">
        <v>67</v>
      </c>
      <c r="C46" s="3" t="s">
        <v>196</v>
      </c>
      <c r="D46" s="3" t="s">
        <v>275</v>
      </c>
      <c r="E46" s="3" t="s">
        <v>276</v>
      </c>
      <c r="F46" s="3" t="s">
        <v>198</v>
      </c>
      <c r="G46" s="6">
        <v>45881</v>
      </c>
      <c r="H46" s="6">
        <v>45888</v>
      </c>
      <c r="I46" s="3" t="s">
        <v>281</v>
      </c>
      <c r="J46" s="3" t="s">
        <v>189</v>
      </c>
      <c r="K46" s="3" t="s">
        <v>201</v>
      </c>
      <c r="L46" s="3" t="s">
        <v>202</v>
      </c>
      <c r="M46" s="3" t="s">
        <v>203</v>
      </c>
      <c r="N46" s="3" t="s">
        <v>204</v>
      </c>
      <c r="O46" s="3" t="s">
        <v>203</v>
      </c>
      <c r="P46" s="3" t="s">
        <v>205</v>
      </c>
      <c r="Q46" s="6">
        <v>45170</v>
      </c>
      <c r="R46" s="3" t="s">
        <v>213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5">
      <c r="A47" s="3">
        <v>46</v>
      </c>
      <c r="B47" s="3" t="s">
        <v>68</v>
      </c>
      <c r="C47" s="3" t="s">
        <v>196</v>
      </c>
      <c r="D47" s="3" t="s">
        <v>275</v>
      </c>
      <c r="E47" s="3" t="s">
        <v>276</v>
      </c>
      <c r="F47" s="3" t="s">
        <v>198</v>
      </c>
      <c r="G47" s="6">
        <v>45909</v>
      </c>
      <c r="H47" s="6">
        <v>45916</v>
      </c>
      <c r="I47" s="3" t="s">
        <v>282</v>
      </c>
      <c r="J47" s="3" t="s">
        <v>200</v>
      </c>
      <c r="K47" s="3" t="s">
        <v>201</v>
      </c>
      <c r="L47" s="3" t="s">
        <v>202</v>
      </c>
      <c r="M47" s="3" t="s">
        <v>203</v>
      </c>
      <c r="N47" s="3" t="s">
        <v>204</v>
      </c>
      <c r="O47" s="3" t="s">
        <v>203</v>
      </c>
      <c r="P47" s="3" t="s">
        <v>205</v>
      </c>
      <c r="Q47" s="6">
        <v>45200</v>
      </c>
      <c r="R47" s="3" t="s">
        <v>213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5">
      <c r="A48" s="3">
        <v>47</v>
      </c>
      <c r="B48" s="3" t="s">
        <v>69</v>
      </c>
      <c r="C48" s="3" t="s">
        <v>196</v>
      </c>
      <c r="D48" s="3" t="s">
        <v>283</v>
      </c>
      <c r="E48" s="3" t="s">
        <v>284</v>
      </c>
      <c r="F48" s="3" t="s">
        <v>198</v>
      </c>
      <c r="G48" s="6">
        <v>45937</v>
      </c>
      <c r="H48" s="6">
        <v>45944</v>
      </c>
      <c r="I48" s="3" t="s">
        <v>285</v>
      </c>
      <c r="J48" s="3" t="s">
        <v>208</v>
      </c>
      <c r="K48" s="3" t="s">
        <v>201</v>
      </c>
      <c r="L48" s="3" t="s">
        <v>202</v>
      </c>
      <c r="M48" s="3" t="s">
        <v>203</v>
      </c>
      <c r="N48" s="3" t="s">
        <v>204</v>
      </c>
      <c r="O48" s="3" t="s">
        <v>203</v>
      </c>
      <c r="P48" s="3" t="s">
        <v>205</v>
      </c>
      <c r="Q48" s="6">
        <v>45457</v>
      </c>
      <c r="R48" s="3" t="s">
        <v>213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5">
      <c r="A49" s="3">
        <v>48</v>
      </c>
      <c r="B49" s="3" t="s">
        <v>70</v>
      </c>
      <c r="C49" s="3" t="s">
        <v>196</v>
      </c>
      <c r="D49" s="3" t="s">
        <v>254</v>
      </c>
      <c r="E49" s="3" t="s">
        <v>255</v>
      </c>
      <c r="F49" s="3" t="s">
        <v>198</v>
      </c>
      <c r="G49" s="6">
        <v>45965</v>
      </c>
      <c r="H49" s="6">
        <v>45972</v>
      </c>
      <c r="I49" s="3" t="s">
        <v>286</v>
      </c>
      <c r="J49" s="3" t="s">
        <v>210</v>
      </c>
      <c r="K49" s="3" t="s">
        <v>201</v>
      </c>
      <c r="L49" s="3" t="s">
        <v>202</v>
      </c>
      <c r="M49" s="3" t="s">
        <v>203</v>
      </c>
      <c r="N49" s="3" t="s">
        <v>204</v>
      </c>
      <c r="O49" s="3" t="s">
        <v>203</v>
      </c>
      <c r="P49" s="3" t="s">
        <v>205</v>
      </c>
      <c r="Q49" s="6">
        <v>44958</v>
      </c>
      <c r="R49" s="3" t="s">
        <v>213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5">
      <c r="A50" s="3">
        <v>49</v>
      </c>
      <c r="B50" s="3" t="s">
        <v>71</v>
      </c>
      <c r="C50" s="3" t="s">
        <v>196</v>
      </c>
      <c r="D50" s="3" t="s">
        <v>287</v>
      </c>
      <c r="E50" s="3" t="s">
        <v>288</v>
      </c>
      <c r="F50" s="3" t="s">
        <v>198</v>
      </c>
      <c r="G50" s="6">
        <v>45762</v>
      </c>
      <c r="H50" s="6">
        <v>45769</v>
      </c>
      <c r="I50" s="3" t="s">
        <v>289</v>
      </c>
      <c r="J50" s="3" t="s">
        <v>189</v>
      </c>
      <c r="K50" s="3" t="s">
        <v>201</v>
      </c>
      <c r="L50" s="3" t="s">
        <v>202</v>
      </c>
      <c r="M50" s="3" t="s">
        <v>203</v>
      </c>
      <c r="N50" s="3" t="s">
        <v>204</v>
      </c>
      <c r="O50" s="3" t="s">
        <v>203</v>
      </c>
      <c r="P50" s="3" t="s">
        <v>205</v>
      </c>
      <c r="Q50" s="6">
        <v>44986</v>
      </c>
      <c r="R50" s="3" t="s">
        <v>228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5">
      <c r="A51" s="3">
        <v>50</v>
      </c>
      <c r="B51" s="3" t="s">
        <v>72</v>
      </c>
      <c r="C51" s="3" t="s">
        <v>196</v>
      </c>
      <c r="D51" s="3" t="s">
        <v>254</v>
      </c>
      <c r="E51" s="3" t="s">
        <v>255</v>
      </c>
      <c r="F51" s="3" t="s">
        <v>198</v>
      </c>
      <c r="G51" s="6">
        <v>45790</v>
      </c>
      <c r="H51" s="6">
        <v>45797</v>
      </c>
      <c r="I51" s="3" t="s">
        <v>290</v>
      </c>
      <c r="J51" s="3" t="s">
        <v>200</v>
      </c>
      <c r="K51" s="3" t="s">
        <v>201</v>
      </c>
      <c r="L51" s="3" t="s">
        <v>202</v>
      </c>
      <c r="M51" s="3" t="s">
        <v>203</v>
      </c>
      <c r="N51" s="3" t="s">
        <v>204</v>
      </c>
      <c r="O51" s="3" t="s">
        <v>203</v>
      </c>
      <c r="P51" s="3" t="s">
        <v>205</v>
      </c>
      <c r="Q51" s="6">
        <v>45231</v>
      </c>
      <c r="R51" s="3" t="s">
        <v>213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5">
      <c r="A52" s="3">
        <v>51</v>
      </c>
      <c r="B52" s="3" t="s">
        <v>73</v>
      </c>
      <c r="C52" s="3" t="s">
        <v>196</v>
      </c>
      <c r="D52" s="3" t="s">
        <v>287</v>
      </c>
      <c r="E52" s="3" t="s">
        <v>291</v>
      </c>
      <c r="F52" s="3" t="s">
        <v>198</v>
      </c>
      <c r="G52" s="6">
        <v>45818</v>
      </c>
      <c r="H52" s="6">
        <v>45825</v>
      </c>
      <c r="I52" s="3" t="s">
        <v>292</v>
      </c>
      <c r="J52" s="3" t="s">
        <v>208</v>
      </c>
      <c r="K52" s="3" t="s">
        <v>201</v>
      </c>
      <c r="L52" s="3" t="s">
        <v>202</v>
      </c>
      <c r="M52" s="3" t="s">
        <v>203</v>
      </c>
      <c r="N52" s="3" t="s">
        <v>204</v>
      </c>
      <c r="O52" s="3" t="s">
        <v>203</v>
      </c>
      <c r="P52" s="3" t="s">
        <v>205</v>
      </c>
      <c r="Q52" s="6">
        <v>45337</v>
      </c>
      <c r="R52" s="3" t="s">
        <v>213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5">
      <c r="A53" s="3">
        <v>52</v>
      </c>
      <c r="B53" s="3" t="s">
        <v>74</v>
      </c>
      <c r="C53" s="3" t="s">
        <v>196</v>
      </c>
      <c r="D53" s="3" t="s">
        <v>287</v>
      </c>
      <c r="E53" s="3" t="s">
        <v>291</v>
      </c>
      <c r="F53" s="3" t="s">
        <v>198</v>
      </c>
      <c r="G53" s="6">
        <v>45846</v>
      </c>
      <c r="H53" s="6">
        <v>45853</v>
      </c>
      <c r="I53" s="3" t="s">
        <v>293</v>
      </c>
      <c r="J53" s="3" t="s">
        <v>210</v>
      </c>
      <c r="K53" s="3" t="s">
        <v>201</v>
      </c>
      <c r="L53" s="3" t="s">
        <v>202</v>
      </c>
      <c r="M53" s="3" t="s">
        <v>203</v>
      </c>
      <c r="N53" s="3" t="s">
        <v>204</v>
      </c>
      <c r="O53" s="3" t="s">
        <v>203</v>
      </c>
      <c r="P53" s="3" t="s">
        <v>205</v>
      </c>
      <c r="Q53" s="6">
        <v>45383</v>
      </c>
      <c r="R53" s="3" t="s">
        <v>213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5">
      <c r="A54" s="3">
        <v>53</v>
      </c>
      <c r="B54" s="3" t="s">
        <v>75</v>
      </c>
      <c r="C54" s="3" t="s">
        <v>196</v>
      </c>
      <c r="D54" s="3" t="s">
        <v>287</v>
      </c>
      <c r="E54" s="3" t="s">
        <v>288</v>
      </c>
      <c r="F54" s="3" t="s">
        <v>198</v>
      </c>
      <c r="G54" s="6">
        <v>45881</v>
      </c>
      <c r="H54" s="6">
        <v>45888</v>
      </c>
      <c r="I54" s="3" t="s">
        <v>294</v>
      </c>
      <c r="J54" s="3" t="s">
        <v>189</v>
      </c>
      <c r="K54" s="3" t="s">
        <v>201</v>
      </c>
      <c r="L54" s="3" t="s">
        <v>202</v>
      </c>
      <c r="M54" s="3" t="s">
        <v>203</v>
      </c>
      <c r="N54" s="3" t="s">
        <v>204</v>
      </c>
      <c r="O54" s="3" t="s">
        <v>203</v>
      </c>
      <c r="P54" s="3" t="s">
        <v>205</v>
      </c>
      <c r="Q54" s="6">
        <v>45323</v>
      </c>
      <c r="R54" s="3" t="s">
        <v>213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5">
      <c r="A55" s="3">
        <v>54</v>
      </c>
      <c r="B55" s="3" t="s">
        <v>76</v>
      </c>
      <c r="C55" s="3" t="s">
        <v>196</v>
      </c>
      <c r="D55" s="3" t="s">
        <v>287</v>
      </c>
      <c r="E55" s="3" t="s">
        <v>288</v>
      </c>
      <c r="F55" s="3" t="s">
        <v>198</v>
      </c>
      <c r="G55" s="6">
        <v>45909</v>
      </c>
      <c r="H55" s="6">
        <v>45916</v>
      </c>
      <c r="I55" s="3" t="s">
        <v>295</v>
      </c>
      <c r="J55" s="3" t="s">
        <v>200</v>
      </c>
      <c r="K55" s="3" t="s">
        <v>201</v>
      </c>
      <c r="L55" s="3" t="s">
        <v>202</v>
      </c>
      <c r="M55" s="3" t="s">
        <v>203</v>
      </c>
      <c r="N55" s="3" t="s">
        <v>204</v>
      </c>
      <c r="O55" s="3" t="s">
        <v>203</v>
      </c>
      <c r="P55" s="3" t="s">
        <v>205</v>
      </c>
      <c r="Q55" s="6">
        <v>45323</v>
      </c>
      <c r="R55" s="3" t="s">
        <v>213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5">
      <c r="A56" s="3">
        <v>55</v>
      </c>
      <c r="B56" s="3" t="s">
        <v>77</v>
      </c>
      <c r="C56" s="3" t="s">
        <v>196</v>
      </c>
      <c r="D56" s="3" t="s">
        <v>296</v>
      </c>
      <c r="E56" s="3" t="s">
        <v>297</v>
      </c>
      <c r="F56" s="3" t="s">
        <v>198</v>
      </c>
      <c r="G56" s="6">
        <v>45937</v>
      </c>
      <c r="H56" s="6">
        <v>45944</v>
      </c>
      <c r="I56" s="3" t="s">
        <v>298</v>
      </c>
      <c r="J56" s="3" t="s">
        <v>208</v>
      </c>
      <c r="K56" s="3" t="s">
        <v>201</v>
      </c>
      <c r="L56" s="3" t="s">
        <v>202</v>
      </c>
      <c r="M56" s="3" t="s">
        <v>203</v>
      </c>
      <c r="N56" s="3" t="s">
        <v>204</v>
      </c>
      <c r="O56" s="3" t="s">
        <v>203</v>
      </c>
      <c r="P56" s="3" t="s">
        <v>205</v>
      </c>
      <c r="Q56" s="6">
        <v>45343</v>
      </c>
      <c r="R56" s="3" t="s">
        <v>228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5">
      <c r="A57" s="3">
        <v>56</v>
      </c>
      <c r="B57" s="3" t="s">
        <v>78</v>
      </c>
      <c r="C57" s="3" t="s">
        <v>196</v>
      </c>
      <c r="D57" s="3" t="s">
        <v>287</v>
      </c>
      <c r="E57" s="3" t="s">
        <v>291</v>
      </c>
      <c r="F57" s="3" t="s">
        <v>198</v>
      </c>
      <c r="G57" s="6">
        <v>45965</v>
      </c>
      <c r="H57" s="6">
        <v>45972</v>
      </c>
      <c r="I57" s="3" t="s">
        <v>299</v>
      </c>
      <c r="J57" s="3" t="s">
        <v>210</v>
      </c>
      <c r="K57" s="3" t="s">
        <v>201</v>
      </c>
      <c r="L57" s="3" t="s">
        <v>202</v>
      </c>
      <c r="M57" s="3" t="s">
        <v>203</v>
      </c>
      <c r="N57" s="3" t="s">
        <v>204</v>
      </c>
      <c r="O57" s="3" t="s">
        <v>203</v>
      </c>
      <c r="P57" s="3" t="s">
        <v>205</v>
      </c>
      <c r="Q57" s="6">
        <v>45337</v>
      </c>
      <c r="R57" s="3" t="s">
        <v>206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5">
      <c r="A58" s="3">
        <v>57</v>
      </c>
      <c r="B58" s="3" t="s">
        <v>79</v>
      </c>
      <c r="C58" s="3" t="s">
        <v>196</v>
      </c>
      <c r="D58" s="3" t="s">
        <v>300</v>
      </c>
      <c r="E58" s="3" t="s">
        <v>297</v>
      </c>
      <c r="F58" s="3" t="s">
        <v>198</v>
      </c>
      <c r="G58" s="6">
        <v>45762</v>
      </c>
      <c r="H58" s="6">
        <v>45769</v>
      </c>
      <c r="I58" s="3" t="s">
        <v>301</v>
      </c>
      <c r="J58" s="3" t="s">
        <v>189</v>
      </c>
      <c r="K58" s="3" t="s">
        <v>201</v>
      </c>
      <c r="L58" s="3" t="s">
        <v>202</v>
      </c>
      <c r="M58" s="3" t="s">
        <v>203</v>
      </c>
      <c r="N58" s="3" t="s">
        <v>204</v>
      </c>
      <c r="O58" s="3" t="s">
        <v>203</v>
      </c>
      <c r="P58" s="3" t="s">
        <v>205</v>
      </c>
      <c r="Q58" s="6">
        <v>45108</v>
      </c>
      <c r="R58" s="3" t="s">
        <v>213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5">
      <c r="A59" s="3">
        <v>58</v>
      </c>
      <c r="B59" s="3" t="s">
        <v>80</v>
      </c>
      <c r="C59" s="3" t="s">
        <v>196</v>
      </c>
      <c r="D59" s="3" t="s">
        <v>300</v>
      </c>
      <c r="E59" s="3" t="s">
        <v>297</v>
      </c>
      <c r="F59" s="3" t="s">
        <v>198</v>
      </c>
      <c r="G59" s="6">
        <v>45790</v>
      </c>
      <c r="H59" s="6">
        <v>45797</v>
      </c>
      <c r="I59" s="3" t="s">
        <v>302</v>
      </c>
      <c r="J59" s="3" t="s">
        <v>200</v>
      </c>
      <c r="K59" s="3" t="s">
        <v>201</v>
      </c>
      <c r="L59" s="3" t="s">
        <v>202</v>
      </c>
      <c r="M59" s="3" t="s">
        <v>203</v>
      </c>
      <c r="N59" s="3" t="s">
        <v>204</v>
      </c>
      <c r="O59" s="3" t="s">
        <v>203</v>
      </c>
      <c r="P59" s="3" t="s">
        <v>205</v>
      </c>
      <c r="Q59" s="6">
        <v>45200</v>
      </c>
      <c r="R59" s="3" t="s">
        <v>213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5">
      <c r="A60" s="3">
        <v>59</v>
      </c>
      <c r="B60" s="3" t="s">
        <v>81</v>
      </c>
      <c r="C60" s="3" t="s">
        <v>196</v>
      </c>
      <c r="D60" s="3" t="s">
        <v>300</v>
      </c>
      <c r="E60" s="3" t="s">
        <v>297</v>
      </c>
      <c r="F60" s="3" t="s">
        <v>198</v>
      </c>
      <c r="G60" s="6">
        <v>45818</v>
      </c>
      <c r="H60" s="6">
        <v>45825</v>
      </c>
      <c r="I60" s="3" t="s">
        <v>303</v>
      </c>
      <c r="J60" s="3" t="s">
        <v>208</v>
      </c>
      <c r="K60" s="3" t="s">
        <v>201</v>
      </c>
      <c r="L60" s="3" t="s">
        <v>202</v>
      </c>
      <c r="M60" s="3" t="s">
        <v>203</v>
      </c>
      <c r="N60" s="3" t="s">
        <v>204</v>
      </c>
      <c r="O60" s="3" t="s">
        <v>203</v>
      </c>
      <c r="P60" s="3" t="s">
        <v>205</v>
      </c>
      <c r="Q60" s="6">
        <v>45292</v>
      </c>
      <c r="R60" s="3" t="s">
        <v>213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5">
      <c r="A61" s="3">
        <v>60</v>
      </c>
      <c r="B61" s="3" t="s">
        <v>82</v>
      </c>
      <c r="C61" s="3" t="s">
        <v>196</v>
      </c>
      <c r="D61" s="3" t="s">
        <v>251</v>
      </c>
      <c r="E61" s="3" t="s">
        <v>252</v>
      </c>
      <c r="F61" s="3" t="s">
        <v>198</v>
      </c>
      <c r="G61" s="6">
        <v>45846</v>
      </c>
      <c r="H61" s="6">
        <v>45853</v>
      </c>
      <c r="I61" s="3" t="s">
        <v>304</v>
      </c>
      <c r="J61" s="3" t="s">
        <v>210</v>
      </c>
      <c r="K61" s="3" t="s">
        <v>201</v>
      </c>
      <c r="L61" s="3" t="s">
        <v>202</v>
      </c>
      <c r="M61" s="3" t="s">
        <v>203</v>
      </c>
      <c r="N61" s="3" t="s">
        <v>204</v>
      </c>
      <c r="O61" s="3" t="s">
        <v>203</v>
      </c>
      <c r="P61" s="3" t="s">
        <v>205</v>
      </c>
      <c r="Q61" s="6">
        <v>45413</v>
      </c>
      <c r="R61" s="3" t="s">
        <v>213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5">
      <c r="A62" s="3">
        <v>61</v>
      </c>
      <c r="B62" s="3" t="s">
        <v>83</v>
      </c>
      <c r="C62" s="3" t="s">
        <v>196</v>
      </c>
      <c r="D62" s="3" t="s">
        <v>251</v>
      </c>
      <c r="E62" s="3" t="s">
        <v>252</v>
      </c>
      <c r="F62" s="3" t="s">
        <v>198</v>
      </c>
      <c r="G62" s="6">
        <v>45881</v>
      </c>
      <c r="H62" s="6">
        <v>45888</v>
      </c>
      <c r="I62" s="3" t="s">
        <v>305</v>
      </c>
      <c r="J62" s="3" t="s">
        <v>189</v>
      </c>
      <c r="K62" s="3" t="s">
        <v>201</v>
      </c>
      <c r="L62" s="3" t="s">
        <v>202</v>
      </c>
      <c r="M62" s="3" t="s">
        <v>203</v>
      </c>
      <c r="N62" s="3" t="s">
        <v>204</v>
      </c>
      <c r="O62" s="3" t="s">
        <v>203</v>
      </c>
      <c r="P62" s="3" t="s">
        <v>205</v>
      </c>
      <c r="Q62" s="6">
        <v>45413</v>
      </c>
      <c r="R62" s="3" t="s">
        <v>306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5">
      <c r="A63" s="3">
        <v>62</v>
      </c>
      <c r="B63" s="3" t="s">
        <v>84</v>
      </c>
      <c r="C63" s="3" t="s">
        <v>196</v>
      </c>
      <c r="D63" s="3" t="s">
        <v>307</v>
      </c>
      <c r="E63" s="3" t="s">
        <v>252</v>
      </c>
      <c r="F63" s="3" t="s">
        <v>308</v>
      </c>
      <c r="G63" s="6">
        <v>45909</v>
      </c>
      <c r="H63" s="6">
        <v>45916</v>
      </c>
      <c r="I63" s="3" t="s">
        <v>309</v>
      </c>
      <c r="J63" s="3" t="s">
        <v>200</v>
      </c>
      <c r="K63" s="3" t="s">
        <v>201</v>
      </c>
      <c r="L63" s="3" t="s">
        <v>202</v>
      </c>
      <c r="M63" s="3" t="s">
        <v>203</v>
      </c>
      <c r="N63" s="3" t="s">
        <v>204</v>
      </c>
      <c r="O63" s="3" t="s">
        <v>203</v>
      </c>
      <c r="P63" s="3" t="s">
        <v>205</v>
      </c>
      <c r="Q63" s="6">
        <v>45405</v>
      </c>
      <c r="R63" s="3" t="s">
        <v>228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5">
      <c r="A64" s="3">
        <v>63</v>
      </c>
      <c r="B64" s="3" t="s">
        <v>85</v>
      </c>
      <c r="C64" s="3" t="s">
        <v>196</v>
      </c>
      <c r="D64" s="3" t="s">
        <v>310</v>
      </c>
      <c r="E64" s="3" t="s">
        <v>252</v>
      </c>
      <c r="F64" s="3" t="s">
        <v>308</v>
      </c>
      <c r="G64" s="6">
        <v>45937</v>
      </c>
      <c r="H64" s="6">
        <v>45944</v>
      </c>
      <c r="I64" s="3" t="s">
        <v>311</v>
      </c>
      <c r="J64" s="3" t="s">
        <v>208</v>
      </c>
      <c r="K64" s="3" t="s">
        <v>201</v>
      </c>
      <c r="L64" s="3" t="s">
        <v>202</v>
      </c>
      <c r="M64" s="3" t="s">
        <v>203</v>
      </c>
      <c r="N64" s="3" t="s">
        <v>204</v>
      </c>
      <c r="O64" s="3" t="s">
        <v>203</v>
      </c>
      <c r="P64" s="3" t="s">
        <v>205</v>
      </c>
      <c r="Q64" s="6">
        <v>45405</v>
      </c>
      <c r="R64" s="3" t="s">
        <v>228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5">
      <c r="A65" s="3">
        <v>64</v>
      </c>
      <c r="B65" s="3" t="s">
        <v>86</v>
      </c>
      <c r="C65" s="3" t="s">
        <v>196</v>
      </c>
      <c r="D65" s="3" t="s">
        <v>312</v>
      </c>
      <c r="E65" s="3" t="s">
        <v>252</v>
      </c>
      <c r="F65" s="3" t="s">
        <v>308</v>
      </c>
      <c r="G65" s="6">
        <v>45965</v>
      </c>
      <c r="H65" s="6">
        <v>45972</v>
      </c>
      <c r="I65" s="3" t="s">
        <v>313</v>
      </c>
      <c r="J65" s="3" t="s">
        <v>210</v>
      </c>
      <c r="K65" s="3" t="s">
        <v>201</v>
      </c>
      <c r="L65" s="3" t="s">
        <v>202</v>
      </c>
      <c r="M65" s="3" t="s">
        <v>203</v>
      </c>
      <c r="N65" s="3" t="s">
        <v>204</v>
      </c>
      <c r="O65" s="3" t="s">
        <v>203</v>
      </c>
      <c r="P65" s="3" t="s">
        <v>205</v>
      </c>
      <c r="Q65" s="6">
        <v>45397</v>
      </c>
      <c r="R65" s="3" t="s">
        <v>228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5">
      <c r="A66" s="3">
        <v>65</v>
      </c>
      <c r="B66" s="3" t="s">
        <v>87</v>
      </c>
      <c r="C66" s="3" t="s">
        <v>196</v>
      </c>
      <c r="D66" s="3" t="s">
        <v>254</v>
      </c>
      <c r="E66" s="3" t="s">
        <v>255</v>
      </c>
      <c r="F66" s="3" t="s">
        <v>198</v>
      </c>
      <c r="G66" s="6">
        <v>45993</v>
      </c>
      <c r="H66" s="6">
        <v>46000</v>
      </c>
      <c r="I66" s="3" t="s">
        <v>314</v>
      </c>
      <c r="J66" s="3" t="s">
        <v>189</v>
      </c>
      <c r="K66" s="3" t="s">
        <v>201</v>
      </c>
      <c r="L66" s="3" t="s">
        <v>202</v>
      </c>
      <c r="M66" s="3" t="s">
        <v>203</v>
      </c>
      <c r="N66" s="3" t="s">
        <v>204</v>
      </c>
      <c r="O66" s="3" t="s">
        <v>203</v>
      </c>
      <c r="P66" s="3" t="s">
        <v>205</v>
      </c>
      <c r="Q66" s="6">
        <v>45261</v>
      </c>
      <c r="R66" s="3" t="s">
        <v>306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5">
      <c r="A67" s="3">
        <v>66</v>
      </c>
      <c r="B67" s="3" t="s">
        <v>88</v>
      </c>
      <c r="C67" s="3" t="s">
        <v>196</v>
      </c>
      <c r="D67" s="3" t="s">
        <v>315</v>
      </c>
      <c r="E67" s="3" t="s">
        <v>316</v>
      </c>
      <c r="F67" s="3" t="s">
        <v>198</v>
      </c>
      <c r="G67" s="6">
        <v>45757</v>
      </c>
      <c r="H67" s="6">
        <v>45764</v>
      </c>
      <c r="I67" s="3" t="s">
        <v>317</v>
      </c>
      <c r="J67" s="3" t="s">
        <v>200</v>
      </c>
      <c r="K67" s="3" t="s">
        <v>201</v>
      </c>
      <c r="L67" s="3" t="s">
        <v>202</v>
      </c>
      <c r="M67" s="3" t="s">
        <v>203</v>
      </c>
      <c r="N67" s="3" t="s">
        <v>204</v>
      </c>
      <c r="O67" s="3" t="s">
        <v>203</v>
      </c>
      <c r="P67" s="3" t="s">
        <v>205</v>
      </c>
      <c r="Q67" s="6">
        <v>45355</v>
      </c>
      <c r="R67" s="3" t="s">
        <v>206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5">
      <c r="A68" s="3">
        <v>67</v>
      </c>
      <c r="B68" s="3" t="s">
        <v>90</v>
      </c>
      <c r="C68" s="3" t="s">
        <v>196</v>
      </c>
      <c r="D68" s="3" t="s">
        <v>315</v>
      </c>
      <c r="E68" s="3" t="s">
        <v>316</v>
      </c>
      <c r="F68" s="3" t="s">
        <v>198</v>
      </c>
      <c r="G68" s="6">
        <v>45792</v>
      </c>
      <c r="H68" s="6">
        <v>45799</v>
      </c>
      <c r="I68" s="3" t="s">
        <v>318</v>
      </c>
      <c r="J68" s="3" t="s">
        <v>208</v>
      </c>
      <c r="K68" s="3" t="s">
        <v>201</v>
      </c>
      <c r="L68" s="3" t="s">
        <v>202</v>
      </c>
      <c r="M68" s="3" t="s">
        <v>203</v>
      </c>
      <c r="N68" s="3" t="s">
        <v>204</v>
      </c>
      <c r="O68" s="3" t="s">
        <v>203</v>
      </c>
      <c r="P68" s="3" t="s">
        <v>205</v>
      </c>
      <c r="Q68" s="6">
        <v>45463</v>
      </c>
      <c r="R68" s="3" t="s">
        <v>213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5">
      <c r="A69" s="3">
        <v>68</v>
      </c>
      <c r="B69" s="3" t="s">
        <v>91</v>
      </c>
      <c r="C69" s="3" t="s">
        <v>196</v>
      </c>
      <c r="D69" s="3" t="s">
        <v>315</v>
      </c>
      <c r="E69" s="3" t="s">
        <v>316</v>
      </c>
      <c r="F69" s="3" t="s">
        <v>198</v>
      </c>
      <c r="G69" s="6">
        <v>45813</v>
      </c>
      <c r="H69" s="6">
        <v>45820</v>
      </c>
      <c r="I69" s="3" t="s">
        <v>319</v>
      </c>
      <c r="J69" s="3" t="s">
        <v>210</v>
      </c>
      <c r="K69" s="3" t="s">
        <v>201</v>
      </c>
      <c r="L69" s="3" t="s">
        <v>202</v>
      </c>
      <c r="M69" s="3" t="s">
        <v>203</v>
      </c>
      <c r="N69" s="3" t="s">
        <v>204</v>
      </c>
      <c r="O69" s="3" t="s">
        <v>203</v>
      </c>
      <c r="P69" s="3" t="s">
        <v>205</v>
      </c>
      <c r="Q69" s="6">
        <v>45364</v>
      </c>
      <c r="R69" s="3" t="s">
        <v>213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5">
      <c r="A70" s="3">
        <v>69</v>
      </c>
      <c r="B70" s="3" t="s">
        <v>92</v>
      </c>
      <c r="C70" s="3" t="s">
        <v>196</v>
      </c>
      <c r="D70" s="3" t="s">
        <v>315</v>
      </c>
      <c r="E70" s="3" t="s">
        <v>316</v>
      </c>
      <c r="F70" s="3" t="s">
        <v>198</v>
      </c>
      <c r="G70" s="6">
        <v>45846</v>
      </c>
      <c r="H70" s="6">
        <v>45853</v>
      </c>
      <c r="I70" s="3" t="s">
        <v>320</v>
      </c>
      <c r="J70" s="3" t="s">
        <v>189</v>
      </c>
      <c r="K70" s="3" t="s">
        <v>201</v>
      </c>
      <c r="L70" s="3" t="s">
        <v>202</v>
      </c>
      <c r="M70" s="3" t="s">
        <v>203</v>
      </c>
      <c r="N70" s="3" t="s">
        <v>204</v>
      </c>
      <c r="O70" s="3" t="s">
        <v>203</v>
      </c>
      <c r="P70" s="3" t="s">
        <v>205</v>
      </c>
      <c r="Q70" s="6">
        <v>45118</v>
      </c>
      <c r="R70" s="3" t="s">
        <v>206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5">
      <c r="A71" s="3">
        <v>70</v>
      </c>
      <c r="B71" s="3" t="s">
        <v>93</v>
      </c>
      <c r="C71" s="3" t="s">
        <v>196</v>
      </c>
      <c r="D71" s="3" t="s">
        <v>315</v>
      </c>
      <c r="E71" s="3" t="s">
        <v>316</v>
      </c>
      <c r="F71" s="3" t="s">
        <v>198</v>
      </c>
      <c r="G71" s="6">
        <v>45881</v>
      </c>
      <c r="H71" s="6">
        <v>45888</v>
      </c>
      <c r="I71" s="3" t="s">
        <v>321</v>
      </c>
      <c r="J71" s="3" t="s">
        <v>200</v>
      </c>
      <c r="K71" s="3" t="s">
        <v>201</v>
      </c>
      <c r="L71" s="3" t="s">
        <v>202</v>
      </c>
      <c r="M71" s="3" t="s">
        <v>203</v>
      </c>
      <c r="N71" s="3" t="s">
        <v>204</v>
      </c>
      <c r="O71" s="3" t="s">
        <v>203</v>
      </c>
      <c r="P71" s="3" t="s">
        <v>205</v>
      </c>
      <c r="Q71" s="6">
        <v>44999</v>
      </c>
      <c r="R71" s="3" t="s">
        <v>213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5">
      <c r="A72" s="3">
        <v>71</v>
      </c>
      <c r="B72" s="3" t="s">
        <v>94</v>
      </c>
      <c r="C72" s="3" t="s">
        <v>196</v>
      </c>
      <c r="D72" s="3" t="s">
        <v>322</v>
      </c>
      <c r="E72" s="3" t="s">
        <v>323</v>
      </c>
      <c r="F72" s="3" t="s">
        <v>198</v>
      </c>
      <c r="G72" s="6">
        <v>45909</v>
      </c>
      <c r="H72" s="6">
        <v>45916</v>
      </c>
      <c r="I72" s="3" t="s">
        <v>324</v>
      </c>
      <c r="J72" s="3" t="s">
        <v>208</v>
      </c>
      <c r="K72" s="3" t="s">
        <v>201</v>
      </c>
      <c r="L72" s="3" t="s">
        <v>202</v>
      </c>
      <c r="M72" s="3" t="s">
        <v>203</v>
      </c>
      <c r="N72" s="3" t="s">
        <v>204</v>
      </c>
      <c r="O72" s="3" t="s">
        <v>203</v>
      </c>
      <c r="P72" s="3" t="s">
        <v>205</v>
      </c>
      <c r="Q72" s="6">
        <v>45380</v>
      </c>
      <c r="R72" s="3" t="s">
        <v>325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5">
      <c r="A73" s="3">
        <v>72</v>
      </c>
      <c r="B73" s="3" t="s">
        <v>97</v>
      </c>
      <c r="C73" s="3" t="s">
        <v>196</v>
      </c>
      <c r="D73" s="3" t="s">
        <v>322</v>
      </c>
      <c r="E73" s="3" t="s">
        <v>323</v>
      </c>
      <c r="F73" s="3" t="s">
        <v>198</v>
      </c>
      <c r="G73" s="6">
        <v>45937</v>
      </c>
      <c r="H73" s="6">
        <v>45944</v>
      </c>
      <c r="I73" s="3" t="s">
        <v>326</v>
      </c>
      <c r="J73" s="3" t="s">
        <v>210</v>
      </c>
      <c r="K73" s="3" t="s">
        <v>201</v>
      </c>
      <c r="L73" s="3" t="s">
        <v>202</v>
      </c>
      <c r="M73" s="3" t="s">
        <v>203</v>
      </c>
      <c r="N73" s="3" t="s">
        <v>204</v>
      </c>
      <c r="O73" s="3" t="s">
        <v>203</v>
      </c>
      <c r="P73" s="3" t="s">
        <v>205</v>
      </c>
      <c r="Q73" s="6">
        <v>45517</v>
      </c>
      <c r="R73" s="3" t="s">
        <v>213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5">
      <c r="A74" s="3">
        <v>73</v>
      </c>
      <c r="B74" s="3" t="s">
        <v>98</v>
      </c>
      <c r="C74" s="3" t="s">
        <v>196</v>
      </c>
      <c r="D74" s="3" t="s">
        <v>322</v>
      </c>
      <c r="E74" s="3" t="s">
        <v>323</v>
      </c>
      <c r="F74" s="3" t="s">
        <v>198</v>
      </c>
      <c r="G74" s="6">
        <v>45965</v>
      </c>
      <c r="H74" s="6">
        <v>45972</v>
      </c>
      <c r="I74" s="3" t="s">
        <v>327</v>
      </c>
      <c r="J74" s="3" t="s">
        <v>189</v>
      </c>
      <c r="K74" s="3" t="s">
        <v>201</v>
      </c>
      <c r="L74" s="3" t="s">
        <v>202</v>
      </c>
      <c r="M74" s="3" t="s">
        <v>203</v>
      </c>
      <c r="N74" s="3" t="s">
        <v>204</v>
      </c>
      <c r="O74" s="3" t="s">
        <v>203</v>
      </c>
      <c r="P74" s="3" t="s">
        <v>205</v>
      </c>
      <c r="Q74" s="6">
        <v>45705</v>
      </c>
      <c r="R74" s="3" t="s">
        <v>328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5">
      <c r="A75" s="3">
        <v>74</v>
      </c>
      <c r="B75" s="3" t="s">
        <v>99</v>
      </c>
      <c r="C75" s="3" t="s">
        <v>196</v>
      </c>
      <c r="D75" s="3" t="s">
        <v>329</v>
      </c>
      <c r="E75" s="3" t="s">
        <v>252</v>
      </c>
      <c r="F75" s="3" t="s">
        <v>198</v>
      </c>
      <c r="G75" s="6">
        <v>45757</v>
      </c>
      <c r="H75" s="6">
        <v>45764</v>
      </c>
      <c r="I75" s="3" t="s">
        <v>330</v>
      </c>
      <c r="J75" s="3" t="s">
        <v>200</v>
      </c>
      <c r="K75" s="3" t="s">
        <v>201</v>
      </c>
      <c r="L75" s="3" t="s">
        <v>202</v>
      </c>
      <c r="M75" s="3" t="s">
        <v>203</v>
      </c>
      <c r="N75" s="3" t="s">
        <v>204</v>
      </c>
      <c r="O75" s="3" t="s">
        <v>203</v>
      </c>
      <c r="P75" s="3" t="s">
        <v>205</v>
      </c>
      <c r="Q75" s="6">
        <v>43874</v>
      </c>
      <c r="R75" s="3" t="s">
        <v>213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5">
      <c r="A76" s="3">
        <v>75</v>
      </c>
      <c r="B76" s="3" t="s">
        <v>100</v>
      </c>
      <c r="C76" s="3" t="s">
        <v>196</v>
      </c>
      <c r="D76" s="3" t="s">
        <v>331</v>
      </c>
      <c r="E76" s="3" t="s">
        <v>332</v>
      </c>
      <c r="F76" s="3" t="s">
        <v>223</v>
      </c>
      <c r="G76" s="6">
        <v>45792</v>
      </c>
      <c r="H76" s="6">
        <v>45799</v>
      </c>
      <c r="I76" s="3" t="s">
        <v>333</v>
      </c>
      <c r="J76" s="3" t="s">
        <v>208</v>
      </c>
      <c r="K76" s="3" t="s">
        <v>201</v>
      </c>
      <c r="L76" s="3" t="s">
        <v>202</v>
      </c>
      <c r="M76" s="3" t="s">
        <v>203</v>
      </c>
      <c r="N76" s="3" t="s">
        <v>204</v>
      </c>
      <c r="O76" s="3" t="s">
        <v>203</v>
      </c>
      <c r="P76" s="3" t="s">
        <v>205</v>
      </c>
      <c r="Q76" s="6">
        <v>43719</v>
      </c>
      <c r="R76" s="3" t="s">
        <v>306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5">
      <c r="A77" s="3">
        <v>76</v>
      </c>
      <c r="B77" s="3" t="s">
        <v>101</v>
      </c>
      <c r="C77" s="3" t="s">
        <v>196</v>
      </c>
      <c r="D77" s="3" t="s">
        <v>334</v>
      </c>
      <c r="E77" s="3" t="s">
        <v>297</v>
      </c>
      <c r="F77" s="3" t="s">
        <v>223</v>
      </c>
      <c r="G77" s="6">
        <v>45813</v>
      </c>
      <c r="H77" s="6">
        <v>45820</v>
      </c>
      <c r="I77" s="3" t="s">
        <v>335</v>
      </c>
      <c r="J77" s="3" t="s">
        <v>210</v>
      </c>
      <c r="K77" s="3" t="s">
        <v>201</v>
      </c>
      <c r="L77" s="3" t="s">
        <v>202</v>
      </c>
      <c r="M77" s="3" t="s">
        <v>203</v>
      </c>
      <c r="N77" s="3" t="s">
        <v>204</v>
      </c>
      <c r="O77" s="3" t="s">
        <v>203</v>
      </c>
      <c r="P77" s="3" t="s">
        <v>205</v>
      </c>
      <c r="Q77" s="6">
        <v>43635</v>
      </c>
      <c r="R77" s="3" t="s">
        <v>306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5">
      <c r="A78" s="3">
        <v>77</v>
      </c>
      <c r="B78" s="3" t="s">
        <v>102</v>
      </c>
      <c r="C78" s="3" t="s">
        <v>196</v>
      </c>
      <c r="D78" s="3" t="s">
        <v>336</v>
      </c>
      <c r="E78" s="3" t="s">
        <v>247</v>
      </c>
      <c r="F78" s="3" t="s">
        <v>223</v>
      </c>
      <c r="G78" s="6">
        <v>45846</v>
      </c>
      <c r="H78" s="6">
        <v>45853</v>
      </c>
      <c r="I78" s="3" t="s">
        <v>337</v>
      </c>
      <c r="J78" s="3" t="s">
        <v>189</v>
      </c>
      <c r="K78" s="3" t="s">
        <v>201</v>
      </c>
      <c r="L78" s="3" t="s">
        <v>202</v>
      </c>
      <c r="M78" s="3" t="s">
        <v>203</v>
      </c>
      <c r="N78" s="3" t="s">
        <v>204</v>
      </c>
      <c r="O78" s="3" t="s">
        <v>203</v>
      </c>
      <c r="P78" s="3" t="s">
        <v>205</v>
      </c>
      <c r="Q78" s="6">
        <v>43672</v>
      </c>
      <c r="R78" s="3" t="s">
        <v>306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5">
      <c r="A79" s="3">
        <v>78</v>
      </c>
      <c r="B79" s="3" t="s">
        <v>103</v>
      </c>
      <c r="C79" s="3" t="s">
        <v>196</v>
      </c>
      <c r="D79" s="3" t="s">
        <v>338</v>
      </c>
      <c r="E79" s="3" t="s">
        <v>297</v>
      </c>
      <c r="F79" s="3" t="s">
        <v>223</v>
      </c>
      <c r="G79" s="6">
        <v>45881</v>
      </c>
      <c r="H79" s="6">
        <v>45888</v>
      </c>
      <c r="I79" s="3" t="s">
        <v>339</v>
      </c>
      <c r="J79" s="3" t="s">
        <v>200</v>
      </c>
      <c r="K79" s="3" t="s">
        <v>201</v>
      </c>
      <c r="L79" s="3" t="s">
        <v>202</v>
      </c>
      <c r="M79" s="3" t="s">
        <v>203</v>
      </c>
      <c r="N79" s="3" t="s">
        <v>204</v>
      </c>
      <c r="O79" s="3" t="s">
        <v>203</v>
      </c>
      <c r="P79" s="3" t="s">
        <v>205</v>
      </c>
      <c r="Q79" s="6">
        <v>43913</v>
      </c>
      <c r="R79" s="3" t="s">
        <v>306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5">
      <c r="A80" s="3">
        <v>79</v>
      </c>
      <c r="B80" s="3" t="s">
        <v>104</v>
      </c>
      <c r="C80" s="3" t="s">
        <v>196</v>
      </c>
      <c r="D80" s="3" t="s">
        <v>340</v>
      </c>
      <c r="E80" s="3" t="s">
        <v>297</v>
      </c>
      <c r="F80" s="3" t="s">
        <v>223</v>
      </c>
      <c r="G80" s="6">
        <v>45909</v>
      </c>
      <c r="H80" s="6">
        <v>45916</v>
      </c>
      <c r="I80" s="3" t="s">
        <v>341</v>
      </c>
      <c r="J80" s="3" t="s">
        <v>208</v>
      </c>
      <c r="K80" s="3" t="s">
        <v>201</v>
      </c>
      <c r="L80" s="3" t="s">
        <v>202</v>
      </c>
      <c r="M80" s="3" t="s">
        <v>203</v>
      </c>
      <c r="N80" s="3" t="s">
        <v>204</v>
      </c>
      <c r="O80" s="3" t="s">
        <v>203</v>
      </c>
      <c r="P80" s="3" t="s">
        <v>205</v>
      </c>
      <c r="Q80" s="6">
        <v>43734</v>
      </c>
      <c r="R80" s="3" t="s">
        <v>306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5">
      <c r="A81" s="3">
        <v>80</v>
      </c>
      <c r="B81" s="3" t="s">
        <v>105</v>
      </c>
      <c r="C81" s="3" t="s">
        <v>196</v>
      </c>
      <c r="D81" s="3" t="s">
        <v>342</v>
      </c>
      <c r="E81" s="3" t="s">
        <v>343</v>
      </c>
      <c r="F81" s="3" t="s">
        <v>308</v>
      </c>
      <c r="G81" s="6">
        <v>45937</v>
      </c>
      <c r="H81" s="6">
        <v>45944</v>
      </c>
      <c r="I81" s="3" t="s">
        <v>344</v>
      </c>
      <c r="J81" s="3" t="s">
        <v>210</v>
      </c>
      <c r="K81" s="3" t="s">
        <v>201</v>
      </c>
      <c r="L81" s="3" t="s">
        <v>202</v>
      </c>
      <c r="M81" s="3" t="s">
        <v>203</v>
      </c>
      <c r="N81" s="3" t="s">
        <v>204</v>
      </c>
      <c r="O81" s="3" t="s">
        <v>203</v>
      </c>
      <c r="P81" s="3" t="s">
        <v>205</v>
      </c>
      <c r="Q81" s="6">
        <v>43740</v>
      </c>
      <c r="R81" s="3" t="s">
        <v>306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5">
      <c r="A82" s="3">
        <v>81</v>
      </c>
      <c r="B82" s="3" t="s">
        <v>106</v>
      </c>
      <c r="C82" s="3" t="s">
        <v>196</v>
      </c>
      <c r="D82" s="3" t="s">
        <v>345</v>
      </c>
      <c r="E82" s="3" t="s">
        <v>297</v>
      </c>
      <c r="F82" s="3" t="s">
        <v>223</v>
      </c>
      <c r="G82" s="6">
        <v>45965</v>
      </c>
      <c r="H82" s="6">
        <v>45972</v>
      </c>
      <c r="I82" s="3" t="s">
        <v>346</v>
      </c>
      <c r="J82" s="3" t="s">
        <v>189</v>
      </c>
      <c r="K82" s="3" t="s">
        <v>201</v>
      </c>
      <c r="L82" s="3" t="s">
        <v>202</v>
      </c>
      <c r="M82" s="3" t="s">
        <v>203</v>
      </c>
      <c r="N82" s="3" t="s">
        <v>204</v>
      </c>
      <c r="O82" s="3" t="s">
        <v>203</v>
      </c>
      <c r="P82" s="3" t="s">
        <v>205</v>
      </c>
      <c r="Q82" s="6">
        <v>44040</v>
      </c>
      <c r="R82" s="3" t="s">
        <v>306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5">
      <c r="A83" s="3">
        <v>82</v>
      </c>
      <c r="B83" s="3" t="s">
        <v>107</v>
      </c>
      <c r="C83" s="3" t="s">
        <v>196</v>
      </c>
      <c r="D83" s="3" t="s">
        <v>287</v>
      </c>
      <c r="E83" s="3" t="s">
        <v>288</v>
      </c>
      <c r="F83" s="3" t="s">
        <v>198</v>
      </c>
      <c r="G83" s="6">
        <v>45993</v>
      </c>
      <c r="H83" s="6">
        <v>46000</v>
      </c>
      <c r="I83" s="3" t="s">
        <v>347</v>
      </c>
      <c r="J83" s="3" t="s">
        <v>200</v>
      </c>
      <c r="K83" s="3" t="s">
        <v>201</v>
      </c>
      <c r="L83" s="3" t="s">
        <v>202</v>
      </c>
      <c r="M83" s="3" t="s">
        <v>203</v>
      </c>
      <c r="N83" s="3" t="s">
        <v>204</v>
      </c>
      <c r="O83" s="3" t="s">
        <v>203</v>
      </c>
      <c r="P83" s="3" t="s">
        <v>205</v>
      </c>
      <c r="Q83" s="6">
        <v>44538</v>
      </c>
      <c r="R83" s="3" t="s">
        <v>213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5">
      <c r="A84" s="3">
        <v>83</v>
      </c>
      <c r="B84" s="3" t="s">
        <v>108</v>
      </c>
      <c r="C84" s="3" t="s">
        <v>196</v>
      </c>
      <c r="D84" s="3" t="s">
        <v>287</v>
      </c>
      <c r="E84" s="3" t="s">
        <v>288</v>
      </c>
      <c r="F84" s="3" t="s">
        <v>198</v>
      </c>
      <c r="G84" s="6">
        <v>45757</v>
      </c>
      <c r="H84" s="6">
        <v>45764</v>
      </c>
      <c r="I84" s="3" t="s">
        <v>348</v>
      </c>
      <c r="J84" s="3" t="s">
        <v>208</v>
      </c>
      <c r="K84" s="3" t="s">
        <v>201</v>
      </c>
      <c r="L84" s="3" t="s">
        <v>202</v>
      </c>
      <c r="M84" s="3" t="s">
        <v>203</v>
      </c>
      <c r="N84" s="3" t="s">
        <v>204</v>
      </c>
      <c r="O84" s="3" t="s">
        <v>203</v>
      </c>
      <c r="P84" s="3" t="s">
        <v>205</v>
      </c>
      <c r="Q84" s="6">
        <v>44649</v>
      </c>
      <c r="R84" s="3" t="s">
        <v>213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5">
      <c r="A85" s="3">
        <v>84</v>
      </c>
      <c r="B85" s="3" t="s">
        <v>109</v>
      </c>
      <c r="C85" s="3" t="s">
        <v>196</v>
      </c>
      <c r="D85" s="3" t="s">
        <v>300</v>
      </c>
      <c r="E85" s="3" t="s">
        <v>297</v>
      </c>
      <c r="F85" s="3" t="s">
        <v>198</v>
      </c>
      <c r="G85" s="6">
        <v>45792</v>
      </c>
      <c r="H85" s="6">
        <v>45799</v>
      </c>
      <c r="I85" s="3" t="s">
        <v>349</v>
      </c>
      <c r="J85" s="3" t="s">
        <v>210</v>
      </c>
      <c r="K85" s="3" t="s">
        <v>201</v>
      </c>
      <c r="L85" s="3" t="s">
        <v>202</v>
      </c>
      <c r="M85" s="3" t="s">
        <v>203</v>
      </c>
      <c r="N85" s="3" t="s">
        <v>204</v>
      </c>
      <c r="O85" s="3" t="s">
        <v>203</v>
      </c>
      <c r="P85" s="3" t="s">
        <v>205</v>
      </c>
      <c r="Q85" s="6">
        <v>44655</v>
      </c>
      <c r="R85" s="3" t="s">
        <v>213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5">
      <c r="A86" s="3">
        <v>85</v>
      </c>
      <c r="B86" s="3" t="s">
        <v>110</v>
      </c>
      <c r="C86" s="3" t="s">
        <v>196</v>
      </c>
      <c r="D86" s="3" t="s">
        <v>350</v>
      </c>
      <c r="E86" s="3" t="s">
        <v>247</v>
      </c>
      <c r="F86" s="3" t="s">
        <v>223</v>
      </c>
      <c r="G86" s="6">
        <v>45813</v>
      </c>
      <c r="H86" s="6">
        <v>45820</v>
      </c>
      <c r="I86" s="3" t="s">
        <v>351</v>
      </c>
      <c r="J86" s="3" t="s">
        <v>189</v>
      </c>
      <c r="K86" s="3" t="s">
        <v>201</v>
      </c>
      <c r="L86" s="3" t="s">
        <v>202</v>
      </c>
      <c r="M86" s="3" t="s">
        <v>203</v>
      </c>
      <c r="N86" s="3" t="s">
        <v>204</v>
      </c>
      <c r="O86" s="3" t="s">
        <v>203</v>
      </c>
      <c r="P86" s="3" t="s">
        <v>205</v>
      </c>
      <c r="Q86" s="6">
        <v>44684</v>
      </c>
      <c r="R86" s="3" t="s">
        <v>352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5">
      <c r="A87" s="3">
        <v>86</v>
      </c>
      <c r="B87" s="3" t="s">
        <v>111</v>
      </c>
      <c r="C87" s="3" t="s">
        <v>196</v>
      </c>
      <c r="D87" s="3" t="s">
        <v>353</v>
      </c>
      <c r="E87" s="3" t="s">
        <v>354</v>
      </c>
      <c r="F87" s="3" t="s">
        <v>355</v>
      </c>
      <c r="G87" s="6">
        <v>45846</v>
      </c>
      <c r="H87" s="6">
        <v>45853</v>
      </c>
      <c r="I87" s="3" t="s">
        <v>356</v>
      </c>
      <c r="J87" s="3" t="s">
        <v>200</v>
      </c>
      <c r="K87" s="3" t="s">
        <v>201</v>
      </c>
      <c r="L87" s="3" t="s">
        <v>202</v>
      </c>
      <c r="M87" s="3" t="s">
        <v>203</v>
      </c>
      <c r="N87" s="3" t="s">
        <v>204</v>
      </c>
      <c r="O87" s="3" t="s">
        <v>203</v>
      </c>
      <c r="P87" s="3" t="s">
        <v>205</v>
      </c>
      <c r="Q87" s="6">
        <v>44754</v>
      </c>
      <c r="R87" s="3" t="s">
        <v>357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5">
      <c r="A88" s="3">
        <v>87</v>
      </c>
      <c r="B88" s="3" t="s">
        <v>112</v>
      </c>
      <c r="C88" s="3" t="s">
        <v>196</v>
      </c>
      <c r="D88" s="3" t="s">
        <v>358</v>
      </c>
      <c r="E88" s="3" t="s">
        <v>359</v>
      </c>
      <c r="F88" s="3" t="s">
        <v>198</v>
      </c>
      <c r="G88" s="6">
        <v>45881</v>
      </c>
      <c r="H88" s="6">
        <v>45888</v>
      </c>
      <c r="I88" s="3" t="s">
        <v>360</v>
      </c>
      <c r="J88" s="3" t="s">
        <v>208</v>
      </c>
      <c r="K88" s="3" t="s">
        <v>201</v>
      </c>
      <c r="L88" s="3" t="s">
        <v>202</v>
      </c>
      <c r="M88" s="3" t="s">
        <v>203</v>
      </c>
      <c r="N88" s="3" t="s">
        <v>204</v>
      </c>
      <c r="O88" s="3" t="s">
        <v>203</v>
      </c>
      <c r="P88" s="3" t="s">
        <v>205</v>
      </c>
      <c r="Q88" s="6">
        <v>44419</v>
      </c>
      <c r="R88" s="3" t="s">
        <v>213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5">
      <c r="A89" s="3">
        <v>88</v>
      </c>
      <c r="B89" s="3" t="s">
        <v>113</v>
      </c>
      <c r="C89" s="3" t="s">
        <v>196</v>
      </c>
      <c r="D89" s="3" t="s">
        <v>197</v>
      </c>
      <c r="E89" s="3" t="s">
        <v>186</v>
      </c>
      <c r="F89" s="3" t="s">
        <v>198</v>
      </c>
      <c r="G89" s="6">
        <v>45909</v>
      </c>
      <c r="H89" s="6">
        <v>45916</v>
      </c>
      <c r="I89" s="3" t="s">
        <v>361</v>
      </c>
      <c r="J89" s="3" t="s">
        <v>210</v>
      </c>
      <c r="K89" s="3" t="s">
        <v>201</v>
      </c>
      <c r="L89" s="3" t="s">
        <v>202</v>
      </c>
      <c r="M89" s="3" t="s">
        <v>203</v>
      </c>
      <c r="N89" s="3" t="s">
        <v>204</v>
      </c>
      <c r="O89" s="3" t="s">
        <v>203</v>
      </c>
      <c r="P89" s="3" t="s">
        <v>205</v>
      </c>
      <c r="Q89" s="6">
        <v>44418</v>
      </c>
      <c r="R89" s="3" t="s">
        <v>213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5">
      <c r="A90" s="3">
        <v>89</v>
      </c>
      <c r="B90" s="3" t="s">
        <v>114</v>
      </c>
      <c r="C90" s="3" t="s">
        <v>196</v>
      </c>
      <c r="D90" s="3" t="s">
        <v>362</v>
      </c>
      <c r="E90" s="3" t="s">
        <v>354</v>
      </c>
      <c r="F90" s="3" t="s">
        <v>308</v>
      </c>
      <c r="G90" s="6">
        <v>45937</v>
      </c>
      <c r="H90" s="6">
        <v>45944</v>
      </c>
      <c r="I90" s="3" t="s">
        <v>363</v>
      </c>
      <c r="J90" s="3" t="s">
        <v>189</v>
      </c>
      <c r="K90" s="3" t="s">
        <v>201</v>
      </c>
      <c r="L90" s="3" t="s">
        <v>202</v>
      </c>
      <c r="M90" s="3" t="s">
        <v>203</v>
      </c>
      <c r="N90" s="3" t="s">
        <v>204</v>
      </c>
      <c r="O90" s="3" t="s">
        <v>203</v>
      </c>
      <c r="P90" s="3" t="s">
        <v>205</v>
      </c>
      <c r="Q90" s="6">
        <v>44470</v>
      </c>
      <c r="R90" s="3" t="s">
        <v>306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5">
      <c r="A91" s="3">
        <v>90</v>
      </c>
      <c r="B91" s="3" t="s">
        <v>115</v>
      </c>
      <c r="C91" s="3" t="s">
        <v>196</v>
      </c>
      <c r="D91" s="3" t="s">
        <v>364</v>
      </c>
      <c r="E91" s="3" t="s">
        <v>297</v>
      </c>
      <c r="F91" s="3" t="s">
        <v>223</v>
      </c>
      <c r="G91" s="6">
        <v>45965</v>
      </c>
      <c r="H91" s="6">
        <v>45972</v>
      </c>
      <c r="I91" s="3" t="s">
        <v>365</v>
      </c>
      <c r="J91" s="3" t="s">
        <v>200</v>
      </c>
      <c r="K91" s="3" t="s">
        <v>201</v>
      </c>
      <c r="L91" s="3" t="s">
        <v>202</v>
      </c>
      <c r="M91" s="3" t="s">
        <v>203</v>
      </c>
      <c r="N91" s="3" t="s">
        <v>204</v>
      </c>
      <c r="O91" s="3" t="s">
        <v>203</v>
      </c>
      <c r="P91" s="3" t="s">
        <v>205</v>
      </c>
      <c r="Q91" s="6">
        <v>44682</v>
      </c>
      <c r="R91" s="3" t="s">
        <v>306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5">
      <c r="A92" s="3">
        <v>91</v>
      </c>
      <c r="B92" s="3" t="s">
        <v>116</v>
      </c>
      <c r="C92" s="3" t="s">
        <v>196</v>
      </c>
      <c r="D92" s="3" t="s">
        <v>300</v>
      </c>
      <c r="E92" s="3" t="s">
        <v>297</v>
      </c>
      <c r="F92" s="3" t="s">
        <v>198</v>
      </c>
      <c r="G92" s="6">
        <v>45993</v>
      </c>
      <c r="H92" s="6">
        <v>46000</v>
      </c>
      <c r="I92" s="3" t="s">
        <v>366</v>
      </c>
      <c r="J92" s="3" t="s">
        <v>208</v>
      </c>
      <c r="K92" s="3" t="s">
        <v>201</v>
      </c>
      <c r="L92" s="3" t="s">
        <v>202</v>
      </c>
      <c r="M92" s="3" t="s">
        <v>203</v>
      </c>
      <c r="N92" s="3" t="s">
        <v>204</v>
      </c>
      <c r="O92" s="3" t="s">
        <v>203</v>
      </c>
      <c r="P92" s="3" t="s">
        <v>205</v>
      </c>
      <c r="Q92" s="6">
        <v>44652</v>
      </c>
      <c r="R92" s="3" t="s">
        <v>213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5">
      <c r="A93" s="3">
        <v>92</v>
      </c>
      <c r="B93" s="3" t="s">
        <v>117</v>
      </c>
      <c r="C93" s="3" t="s">
        <v>196</v>
      </c>
      <c r="D93" s="3" t="s">
        <v>367</v>
      </c>
      <c r="E93" s="3" t="s">
        <v>368</v>
      </c>
      <c r="F93" s="3" t="s">
        <v>198</v>
      </c>
      <c r="G93" s="6">
        <v>45757</v>
      </c>
      <c r="H93" s="6">
        <v>45764</v>
      </c>
      <c r="I93" s="3" t="s">
        <v>369</v>
      </c>
      <c r="J93" s="3" t="s">
        <v>210</v>
      </c>
      <c r="K93" s="3" t="s">
        <v>201</v>
      </c>
      <c r="L93" s="3" t="s">
        <v>202</v>
      </c>
      <c r="M93" s="3" t="s">
        <v>203</v>
      </c>
      <c r="N93" s="3" t="s">
        <v>204</v>
      </c>
      <c r="O93" s="3" t="s">
        <v>203</v>
      </c>
      <c r="P93" s="3" t="s">
        <v>205</v>
      </c>
      <c r="Q93" s="6">
        <v>44378</v>
      </c>
      <c r="R93" s="3" t="s">
        <v>213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5">
      <c r="A94" s="3">
        <v>93</v>
      </c>
      <c r="B94" s="3" t="s">
        <v>118</v>
      </c>
      <c r="C94" s="3" t="s">
        <v>196</v>
      </c>
      <c r="D94" s="3" t="s">
        <v>370</v>
      </c>
      <c r="E94" s="3" t="s">
        <v>371</v>
      </c>
      <c r="F94" s="3" t="s">
        <v>223</v>
      </c>
      <c r="G94" s="6">
        <v>45792</v>
      </c>
      <c r="H94" s="6">
        <v>45799</v>
      </c>
      <c r="I94" s="3" t="s">
        <v>372</v>
      </c>
      <c r="J94" s="3" t="s">
        <v>189</v>
      </c>
      <c r="K94" s="3" t="s">
        <v>201</v>
      </c>
      <c r="L94" s="3" t="s">
        <v>202</v>
      </c>
      <c r="M94" s="3" t="s">
        <v>203</v>
      </c>
      <c r="N94" s="3" t="s">
        <v>204</v>
      </c>
      <c r="O94" s="3" t="s">
        <v>203</v>
      </c>
      <c r="P94" s="3" t="s">
        <v>205</v>
      </c>
      <c r="Q94" s="6">
        <v>44665</v>
      </c>
      <c r="R94" s="3" t="s">
        <v>306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5">
      <c r="A95" s="3">
        <v>94</v>
      </c>
      <c r="B95" s="3" t="s">
        <v>119</v>
      </c>
      <c r="C95" s="3" t="s">
        <v>196</v>
      </c>
      <c r="D95" s="3" t="s">
        <v>373</v>
      </c>
      <c r="E95" s="3" t="s">
        <v>332</v>
      </c>
      <c r="F95" s="3" t="s">
        <v>223</v>
      </c>
      <c r="G95" s="6">
        <v>45813</v>
      </c>
      <c r="H95" s="6">
        <v>45820</v>
      </c>
      <c r="I95" s="3" t="s">
        <v>374</v>
      </c>
      <c r="J95" s="3" t="s">
        <v>200</v>
      </c>
      <c r="K95" s="3" t="s">
        <v>201</v>
      </c>
      <c r="L95" s="3" t="s">
        <v>202</v>
      </c>
      <c r="M95" s="3" t="s">
        <v>203</v>
      </c>
      <c r="N95" s="3" t="s">
        <v>204</v>
      </c>
      <c r="O95" s="3" t="s">
        <v>203</v>
      </c>
      <c r="P95" s="3" t="s">
        <v>205</v>
      </c>
      <c r="Q95" s="6">
        <v>44621</v>
      </c>
      <c r="R95" s="3" t="s">
        <v>306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5">
      <c r="A96" s="3">
        <v>95</v>
      </c>
      <c r="B96" s="3" t="s">
        <v>120</v>
      </c>
      <c r="C96" s="3" t="s">
        <v>196</v>
      </c>
      <c r="D96" s="3" t="s">
        <v>375</v>
      </c>
      <c r="E96" s="3" t="s">
        <v>297</v>
      </c>
      <c r="F96" s="3" t="s">
        <v>308</v>
      </c>
      <c r="G96" s="6">
        <v>45846</v>
      </c>
      <c r="H96" s="6">
        <v>45853</v>
      </c>
      <c r="I96" s="3" t="s">
        <v>376</v>
      </c>
      <c r="J96" s="3" t="s">
        <v>208</v>
      </c>
      <c r="K96" s="3" t="s">
        <v>201</v>
      </c>
      <c r="L96" s="3" t="s">
        <v>202</v>
      </c>
      <c r="M96" s="3" t="s">
        <v>203</v>
      </c>
      <c r="N96" s="3" t="s">
        <v>204</v>
      </c>
      <c r="O96" s="3" t="s">
        <v>203</v>
      </c>
      <c r="P96" s="3" t="s">
        <v>205</v>
      </c>
      <c r="Q96" s="6">
        <v>45383</v>
      </c>
      <c r="R96" s="3" t="s">
        <v>306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5">
      <c r="A97" s="3">
        <v>96</v>
      </c>
      <c r="B97" s="3" t="s">
        <v>121</v>
      </c>
      <c r="C97" s="3" t="s">
        <v>196</v>
      </c>
      <c r="D97" s="3" t="s">
        <v>377</v>
      </c>
      <c r="E97" s="3" t="s">
        <v>297</v>
      </c>
      <c r="F97" s="3" t="s">
        <v>223</v>
      </c>
      <c r="G97" s="6">
        <v>45881</v>
      </c>
      <c r="H97" s="6">
        <v>45888</v>
      </c>
      <c r="I97" s="3" t="s">
        <v>378</v>
      </c>
      <c r="J97" s="3" t="s">
        <v>210</v>
      </c>
      <c r="K97" s="3" t="s">
        <v>201</v>
      </c>
      <c r="L97" s="3" t="s">
        <v>202</v>
      </c>
      <c r="M97" s="3" t="s">
        <v>203</v>
      </c>
      <c r="N97" s="3" t="s">
        <v>204</v>
      </c>
      <c r="O97" s="3" t="s">
        <v>203</v>
      </c>
      <c r="P97" s="3" t="s">
        <v>205</v>
      </c>
      <c r="Q97" s="6">
        <v>44105</v>
      </c>
      <c r="R97" s="3" t="s">
        <v>306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5">
      <c r="A98" s="3">
        <v>97</v>
      </c>
      <c r="B98" s="3" t="s">
        <v>122</v>
      </c>
      <c r="C98" s="3" t="s">
        <v>196</v>
      </c>
      <c r="D98" s="3" t="s">
        <v>379</v>
      </c>
      <c r="E98" s="3" t="s">
        <v>297</v>
      </c>
      <c r="F98" s="3" t="s">
        <v>223</v>
      </c>
      <c r="G98" s="6">
        <v>45909</v>
      </c>
      <c r="H98" s="6">
        <v>45916</v>
      </c>
      <c r="I98" s="3" t="s">
        <v>380</v>
      </c>
      <c r="J98" s="3" t="s">
        <v>189</v>
      </c>
      <c r="K98" s="3" t="s">
        <v>201</v>
      </c>
      <c r="L98" s="3" t="s">
        <v>202</v>
      </c>
      <c r="M98" s="3" t="s">
        <v>203</v>
      </c>
      <c r="N98" s="3" t="s">
        <v>204</v>
      </c>
      <c r="O98" s="3" t="s">
        <v>203</v>
      </c>
      <c r="P98" s="3" t="s">
        <v>205</v>
      </c>
      <c r="Q98" s="6">
        <v>43843</v>
      </c>
      <c r="R98" s="3" t="s">
        <v>306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5">
      <c r="A99" s="3">
        <v>98</v>
      </c>
      <c r="B99" s="3" t="s">
        <v>123</v>
      </c>
      <c r="C99" s="3" t="s">
        <v>196</v>
      </c>
      <c r="D99" s="3" t="s">
        <v>381</v>
      </c>
      <c r="E99" s="3" t="s">
        <v>382</v>
      </c>
      <c r="F99" s="3" t="s">
        <v>223</v>
      </c>
      <c r="G99" s="6">
        <v>45937</v>
      </c>
      <c r="H99" s="6">
        <v>45944</v>
      </c>
      <c r="I99" s="3" t="s">
        <v>383</v>
      </c>
      <c r="J99" s="3" t="s">
        <v>200</v>
      </c>
      <c r="K99" s="3" t="s">
        <v>201</v>
      </c>
      <c r="L99" s="3" t="s">
        <v>202</v>
      </c>
      <c r="M99" s="3" t="s">
        <v>203</v>
      </c>
      <c r="N99" s="3" t="s">
        <v>204</v>
      </c>
      <c r="O99" s="3" t="s">
        <v>203</v>
      </c>
      <c r="P99" s="3" t="s">
        <v>205</v>
      </c>
      <c r="Q99" s="6">
        <v>43931</v>
      </c>
      <c r="R99" s="3" t="s">
        <v>306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5">
      <c r="A100" s="3">
        <v>99</v>
      </c>
      <c r="B100" s="3" t="s">
        <v>124</v>
      </c>
      <c r="C100" s="3" t="s">
        <v>196</v>
      </c>
      <c r="D100" s="3" t="s">
        <v>384</v>
      </c>
      <c r="E100" s="3" t="s">
        <v>252</v>
      </c>
      <c r="F100" s="3" t="s">
        <v>223</v>
      </c>
      <c r="G100" s="6">
        <v>45965</v>
      </c>
      <c r="H100" s="6">
        <v>45972</v>
      </c>
      <c r="I100" s="3" t="s">
        <v>385</v>
      </c>
      <c r="J100" s="3" t="s">
        <v>208</v>
      </c>
      <c r="K100" s="3" t="s">
        <v>201</v>
      </c>
      <c r="L100" s="3" t="s">
        <v>202</v>
      </c>
      <c r="M100" s="3" t="s">
        <v>203</v>
      </c>
      <c r="N100" s="3" t="s">
        <v>204</v>
      </c>
      <c r="O100" s="3" t="s">
        <v>203</v>
      </c>
      <c r="P100" s="3" t="s">
        <v>205</v>
      </c>
      <c r="Q100" s="6">
        <v>43987</v>
      </c>
      <c r="R100" s="3" t="s">
        <v>306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5">
      <c r="A101" s="3">
        <v>100</v>
      </c>
      <c r="B101" s="3" t="s">
        <v>125</v>
      </c>
      <c r="C101" s="3" t="s">
        <v>196</v>
      </c>
      <c r="D101" s="3" t="s">
        <v>329</v>
      </c>
      <c r="E101" s="3" t="s">
        <v>252</v>
      </c>
      <c r="F101" s="3" t="s">
        <v>198</v>
      </c>
      <c r="G101" s="6">
        <v>45993</v>
      </c>
      <c r="H101" s="6">
        <v>46000</v>
      </c>
      <c r="I101" s="3" t="s">
        <v>386</v>
      </c>
      <c r="J101" s="3" t="s">
        <v>210</v>
      </c>
      <c r="K101" s="3" t="s">
        <v>201</v>
      </c>
      <c r="L101" s="3" t="s">
        <v>202</v>
      </c>
      <c r="M101" s="3" t="s">
        <v>203</v>
      </c>
      <c r="N101" s="3" t="s">
        <v>204</v>
      </c>
      <c r="O101" s="3" t="s">
        <v>203</v>
      </c>
      <c r="P101" s="3" t="s">
        <v>205</v>
      </c>
      <c r="Q101" s="6">
        <v>43874</v>
      </c>
      <c r="R101" s="3" t="s">
        <v>213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5">
      <c r="A102" s="3">
        <v>101</v>
      </c>
      <c r="B102" s="3" t="s">
        <v>126</v>
      </c>
      <c r="C102" s="3" t="s">
        <v>196</v>
      </c>
      <c r="D102" s="3" t="s">
        <v>387</v>
      </c>
      <c r="E102" s="3" t="s">
        <v>297</v>
      </c>
      <c r="F102" s="3" t="s">
        <v>223</v>
      </c>
      <c r="G102" s="6">
        <v>45757</v>
      </c>
      <c r="H102" s="6">
        <v>45764</v>
      </c>
      <c r="I102" s="3" t="s">
        <v>388</v>
      </c>
      <c r="J102" s="3" t="s">
        <v>189</v>
      </c>
      <c r="K102" s="3" t="s">
        <v>201</v>
      </c>
      <c r="L102" s="3" t="s">
        <v>202</v>
      </c>
      <c r="M102" s="3" t="s">
        <v>203</v>
      </c>
      <c r="N102" s="3" t="s">
        <v>204</v>
      </c>
      <c r="O102" s="3" t="s">
        <v>203</v>
      </c>
      <c r="P102" s="3" t="s">
        <v>205</v>
      </c>
      <c r="Q102" s="6">
        <v>44562</v>
      </c>
      <c r="R102" s="3" t="s">
        <v>306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5">
      <c r="A103" s="3">
        <v>102</v>
      </c>
      <c r="B103" s="3" t="s">
        <v>127</v>
      </c>
      <c r="C103" s="3" t="s">
        <v>196</v>
      </c>
      <c r="D103" s="3" t="s">
        <v>389</v>
      </c>
      <c r="E103" s="3" t="s">
        <v>390</v>
      </c>
      <c r="F103" s="3" t="s">
        <v>198</v>
      </c>
      <c r="G103" s="6">
        <v>45792</v>
      </c>
      <c r="H103" s="6">
        <v>45799</v>
      </c>
      <c r="I103" s="3" t="s">
        <v>391</v>
      </c>
      <c r="J103" s="3" t="s">
        <v>200</v>
      </c>
      <c r="K103" s="3" t="s">
        <v>201</v>
      </c>
      <c r="L103" s="3" t="s">
        <v>202</v>
      </c>
      <c r="M103" s="3" t="s">
        <v>203</v>
      </c>
      <c r="N103" s="3" t="s">
        <v>204</v>
      </c>
      <c r="O103" s="3" t="s">
        <v>203</v>
      </c>
      <c r="P103" s="3" t="s">
        <v>205</v>
      </c>
      <c r="Q103" s="6">
        <v>44348</v>
      </c>
      <c r="R103" s="3" t="s">
        <v>213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5">
      <c r="A104" s="3">
        <v>103</v>
      </c>
      <c r="B104" s="3" t="s">
        <v>128</v>
      </c>
      <c r="C104" s="3" t="s">
        <v>196</v>
      </c>
      <c r="D104" s="3" t="s">
        <v>300</v>
      </c>
      <c r="E104" s="3" t="s">
        <v>297</v>
      </c>
      <c r="F104" s="3" t="s">
        <v>198</v>
      </c>
      <c r="G104" s="6">
        <v>45813</v>
      </c>
      <c r="H104" s="6">
        <v>45820</v>
      </c>
      <c r="I104" s="3" t="s">
        <v>392</v>
      </c>
      <c r="J104" s="3" t="s">
        <v>208</v>
      </c>
      <c r="K104" s="3" t="s">
        <v>201</v>
      </c>
      <c r="L104" s="3" t="s">
        <v>202</v>
      </c>
      <c r="M104" s="3" t="s">
        <v>203</v>
      </c>
      <c r="N104" s="3" t="s">
        <v>204</v>
      </c>
      <c r="O104" s="3" t="s">
        <v>203</v>
      </c>
      <c r="P104" s="3" t="s">
        <v>205</v>
      </c>
      <c r="Q104" s="6">
        <v>44562</v>
      </c>
      <c r="R104" s="3" t="s">
        <v>213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5">
      <c r="A105" s="3">
        <v>104</v>
      </c>
      <c r="B105" s="3" t="s">
        <v>129</v>
      </c>
      <c r="C105" s="3" t="s">
        <v>196</v>
      </c>
      <c r="D105" s="3" t="s">
        <v>329</v>
      </c>
      <c r="E105" s="3" t="s">
        <v>393</v>
      </c>
      <c r="F105" s="3" t="s">
        <v>198</v>
      </c>
      <c r="G105" s="6">
        <v>45846</v>
      </c>
      <c r="H105" s="6">
        <v>45853</v>
      </c>
      <c r="I105" s="3" t="s">
        <v>394</v>
      </c>
      <c r="J105" s="3" t="s">
        <v>210</v>
      </c>
      <c r="K105" s="3" t="s">
        <v>201</v>
      </c>
      <c r="L105" s="3" t="s">
        <v>202</v>
      </c>
      <c r="M105" s="3" t="s">
        <v>203</v>
      </c>
      <c r="N105" s="3" t="s">
        <v>204</v>
      </c>
      <c r="O105" s="3" t="s">
        <v>203</v>
      </c>
      <c r="P105" s="3" t="s">
        <v>205</v>
      </c>
      <c r="Q105" s="6">
        <v>44562</v>
      </c>
      <c r="R105" s="3" t="s">
        <v>213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5">
      <c r="A106" s="3">
        <v>105</v>
      </c>
      <c r="B106" s="3" t="s">
        <v>130</v>
      </c>
      <c r="C106" s="3" t="s">
        <v>196</v>
      </c>
      <c r="D106" s="3" t="s">
        <v>300</v>
      </c>
      <c r="E106" s="3" t="s">
        <v>297</v>
      </c>
      <c r="F106" s="3" t="s">
        <v>198</v>
      </c>
      <c r="G106" s="6">
        <v>45881</v>
      </c>
      <c r="H106" s="6">
        <v>45888</v>
      </c>
      <c r="I106" s="3" t="s">
        <v>395</v>
      </c>
      <c r="J106" s="3" t="s">
        <v>189</v>
      </c>
      <c r="K106" s="3" t="s">
        <v>201</v>
      </c>
      <c r="L106" s="3" t="s">
        <v>202</v>
      </c>
      <c r="M106" s="3" t="s">
        <v>203</v>
      </c>
      <c r="N106" s="3" t="s">
        <v>204</v>
      </c>
      <c r="O106" s="3" t="s">
        <v>203</v>
      </c>
      <c r="P106" s="3" t="s">
        <v>205</v>
      </c>
      <c r="Q106" s="6">
        <v>43983</v>
      </c>
      <c r="R106" s="3" t="s">
        <v>213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5">
      <c r="A107" s="3">
        <v>106</v>
      </c>
      <c r="B107" s="3" t="s">
        <v>131</v>
      </c>
      <c r="C107" s="3" t="s">
        <v>196</v>
      </c>
      <c r="D107" s="3" t="s">
        <v>396</v>
      </c>
      <c r="E107" s="3" t="s">
        <v>297</v>
      </c>
      <c r="F107" s="3" t="s">
        <v>308</v>
      </c>
      <c r="G107" s="6">
        <v>45909</v>
      </c>
      <c r="H107" s="6">
        <v>45916</v>
      </c>
      <c r="I107" s="3" t="s">
        <v>397</v>
      </c>
      <c r="J107" s="3" t="s">
        <v>200</v>
      </c>
      <c r="K107" s="3" t="s">
        <v>201</v>
      </c>
      <c r="L107" s="3" t="s">
        <v>202</v>
      </c>
      <c r="M107" s="3" t="s">
        <v>203</v>
      </c>
      <c r="N107" s="3" t="s">
        <v>204</v>
      </c>
      <c r="O107" s="3" t="s">
        <v>203</v>
      </c>
      <c r="P107" s="3" t="s">
        <v>205</v>
      </c>
      <c r="Q107" s="6">
        <v>44013</v>
      </c>
      <c r="R107" s="3" t="s">
        <v>398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5">
      <c r="A108" s="3">
        <v>107</v>
      </c>
      <c r="B108" s="3" t="s">
        <v>132</v>
      </c>
      <c r="C108" s="3" t="s">
        <v>196</v>
      </c>
      <c r="D108" s="3" t="s">
        <v>399</v>
      </c>
      <c r="E108" s="3" t="s">
        <v>252</v>
      </c>
      <c r="F108" s="3" t="s">
        <v>223</v>
      </c>
      <c r="G108" s="6">
        <v>45937</v>
      </c>
      <c r="H108" s="6">
        <v>45944</v>
      </c>
      <c r="I108" s="3" t="s">
        <v>400</v>
      </c>
      <c r="J108" s="3" t="s">
        <v>208</v>
      </c>
      <c r="K108" s="3" t="s">
        <v>201</v>
      </c>
      <c r="L108" s="3" t="s">
        <v>202</v>
      </c>
      <c r="M108" s="3" t="s">
        <v>203</v>
      </c>
      <c r="N108" s="3" t="s">
        <v>204</v>
      </c>
      <c r="O108" s="3" t="s">
        <v>203</v>
      </c>
      <c r="P108" s="3" t="s">
        <v>205</v>
      </c>
      <c r="Q108" s="6">
        <v>44075</v>
      </c>
      <c r="R108" s="3" t="s">
        <v>306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5">
      <c r="A109" s="3">
        <v>108</v>
      </c>
      <c r="B109" s="3" t="s">
        <v>133</v>
      </c>
      <c r="C109" s="3" t="s">
        <v>196</v>
      </c>
      <c r="D109" s="3" t="s">
        <v>401</v>
      </c>
      <c r="E109" s="3" t="s">
        <v>252</v>
      </c>
      <c r="F109" s="3" t="s">
        <v>223</v>
      </c>
      <c r="G109" s="6">
        <v>45965</v>
      </c>
      <c r="H109" s="6">
        <v>45972</v>
      </c>
      <c r="I109" s="3" t="s">
        <v>402</v>
      </c>
      <c r="J109" s="3" t="s">
        <v>210</v>
      </c>
      <c r="K109" s="3" t="s">
        <v>201</v>
      </c>
      <c r="L109" s="3" t="s">
        <v>202</v>
      </c>
      <c r="M109" s="3" t="s">
        <v>203</v>
      </c>
      <c r="N109" s="3" t="s">
        <v>204</v>
      </c>
      <c r="O109" s="3" t="s">
        <v>203</v>
      </c>
      <c r="P109" s="3" t="s">
        <v>205</v>
      </c>
      <c r="Q109" s="6">
        <v>43770</v>
      </c>
      <c r="R109" s="3" t="s">
        <v>306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5">
      <c r="A110" s="3">
        <v>109</v>
      </c>
      <c r="B110" s="3" t="s">
        <v>134</v>
      </c>
      <c r="C110" s="3" t="s">
        <v>196</v>
      </c>
      <c r="D110" s="3" t="s">
        <v>403</v>
      </c>
      <c r="E110" s="3" t="s">
        <v>247</v>
      </c>
      <c r="F110" s="3" t="s">
        <v>223</v>
      </c>
      <c r="G110" s="6">
        <v>45993</v>
      </c>
      <c r="H110" s="6">
        <v>46000</v>
      </c>
      <c r="I110" s="3" t="s">
        <v>404</v>
      </c>
      <c r="J110" s="3" t="s">
        <v>189</v>
      </c>
      <c r="K110" s="3" t="s">
        <v>201</v>
      </c>
      <c r="L110" s="3" t="s">
        <v>202</v>
      </c>
      <c r="M110" s="3" t="s">
        <v>203</v>
      </c>
      <c r="N110" s="3" t="s">
        <v>204</v>
      </c>
      <c r="O110" s="3" t="s">
        <v>203</v>
      </c>
      <c r="P110" s="3" t="s">
        <v>205</v>
      </c>
      <c r="Q110" s="6">
        <v>43739</v>
      </c>
      <c r="R110" s="3" t="s">
        <v>306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5">
      <c r="A111" s="3">
        <v>110</v>
      </c>
      <c r="B111" s="3" t="s">
        <v>135</v>
      </c>
      <c r="C111" s="3" t="s">
        <v>196</v>
      </c>
      <c r="D111" s="3" t="s">
        <v>405</v>
      </c>
      <c r="E111" s="3" t="s">
        <v>297</v>
      </c>
      <c r="F111" s="3" t="s">
        <v>223</v>
      </c>
      <c r="G111" s="6">
        <v>45757</v>
      </c>
      <c r="H111" s="6">
        <v>45764</v>
      </c>
      <c r="I111" s="3" t="s">
        <v>406</v>
      </c>
      <c r="J111" s="3" t="s">
        <v>200</v>
      </c>
      <c r="K111" s="3" t="s">
        <v>201</v>
      </c>
      <c r="L111" s="3" t="s">
        <v>202</v>
      </c>
      <c r="M111" s="3" t="s">
        <v>203</v>
      </c>
      <c r="N111" s="3" t="s">
        <v>204</v>
      </c>
      <c r="O111" s="3" t="s">
        <v>203</v>
      </c>
      <c r="P111" s="3" t="s">
        <v>205</v>
      </c>
      <c r="Q111" s="6">
        <v>43983</v>
      </c>
      <c r="R111" s="3" t="s">
        <v>306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5">
      <c r="A112" s="3">
        <v>111</v>
      </c>
      <c r="B112" s="3" t="s">
        <v>136</v>
      </c>
      <c r="C112" s="3" t="s">
        <v>196</v>
      </c>
      <c r="D112" s="3" t="s">
        <v>407</v>
      </c>
      <c r="E112" s="3" t="s">
        <v>252</v>
      </c>
      <c r="F112" s="3" t="s">
        <v>223</v>
      </c>
      <c r="G112" s="6">
        <v>45792</v>
      </c>
      <c r="H112" s="6">
        <v>45799</v>
      </c>
      <c r="I112" s="3" t="s">
        <v>408</v>
      </c>
      <c r="J112" s="3" t="s">
        <v>208</v>
      </c>
      <c r="K112" s="3" t="s">
        <v>201</v>
      </c>
      <c r="L112" s="3" t="s">
        <v>202</v>
      </c>
      <c r="M112" s="3" t="s">
        <v>203</v>
      </c>
      <c r="N112" s="3" t="s">
        <v>204</v>
      </c>
      <c r="O112" s="3" t="s">
        <v>203</v>
      </c>
      <c r="P112" s="3" t="s">
        <v>205</v>
      </c>
      <c r="Q112" s="6">
        <v>43586</v>
      </c>
      <c r="R112" s="3" t="s">
        <v>306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5">
      <c r="A113" s="3">
        <v>112</v>
      </c>
      <c r="B113" s="3" t="s">
        <v>137</v>
      </c>
      <c r="C113" s="3" t="s">
        <v>196</v>
      </c>
      <c r="D113" s="3" t="s">
        <v>409</v>
      </c>
      <c r="E113" s="3" t="s">
        <v>323</v>
      </c>
      <c r="F113" s="3" t="s">
        <v>198</v>
      </c>
      <c r="G113" s="6">
        <v>45813</v>
      </c>
      <c r="H113" s="6">
        <v>45820</v>
      </c>
      <c r="I113" s="3" t="s">
        <v>410</v>
      </c>
      <c r="J113" s="3" t="s">
        <v>210</v>
      </c>
      <c r="K113" s="3" t="s">
        <v>201</v>
      </c>
      <c r="L113" s="3" t="s">
        <v>202</v>
      </c>
      <c r="M113" s="3" t="s">
        <v>203</v>
      </c>
      <c r="N113" s="3" t="s">
        <v>204</v>
      </c>
      <c r="O113" s="3" t="s">
        <v>203</v>
      </c>
      <c r="P113" s="3" t="s">
        <v>205</v>
      </c>
      <c r="Q113" s="6">
        <v>45705</v>
      </c>
      <c r="R113" s="3" t="s">
        <v>328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5">
      <c r="A114" s="3">
        <v>113</v>
      </c>
      <c r="B114" s="3" t="s">
        <v>138</v>
      </c>
      <c r="C114" s="3" t="s">
        <v>196</v>
      </c>
      <c r="D114" s="3" t="s">
        <v>287</v>
      </c>
      <c r="E114" s="3" t="s">
        <v>291</v>
      </c>
      <c r="F114" s="3" t="s">
        <v>198</v>
      </c>
      <c r="G114" s="6">
        <v>45846</v>
      </c>
      <c r="H114" s="6">
        <v>45853</v>
      </c>
      <c r="I114" s="3" t="s">
        <v>411</v>
      </c>
      <c r="J114" s="3" t="s">
        <v>189</v>
      </c>
      <c r="K114" s="3" t="s">
        <v>201</v>
      </c>
      <c r="L114" s="3" t="s">
        <v>202</v>
      </c>
      <c r="M114" s="3" t="s">
        <v>203</v>
      </c>
      <c r="N114" s="3" t="s">
        <v>204</v>
      </c>
      <c r="O114" s="3" t="s">
        <v>203</v>
      </c>
      <c r="P114" s="3" t="s">
        <v>205</v>
      </c>
      <c r="Q114" s="6">
        <v>45693</v>
      </c>
      <c r="R114" s="3" t="s">
        <v>213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5">
      <c r="A115" s="3">
        <v>114</v>
      </c>
      <c r="B115" s="3" t="s">
        <v>139</v>
      </c>
      <c r="C115" s="3" t="s">
        <v>196</v>
      </c>
      <c r="D115" s="3" t="s">
        <v>197</v>
      </c>
      <c r="E115" s="3" t="s">
        <v>186</v>
      </c>
      <c r="F115" s="3" t="s">
        <v>198</v>
      </c>
      <c r="G115" s="6">
        <v>45881</v>
      </c>
      <c r="H115" s="6">
        <v>45888</v>
      </c>
      <c r="I115" s="3" t="s">
        <v>412</v>
      </c>
      <c r="J115" s="3" t="s">
        <v>200</v>
      </c>
      <c r="K115" s="3" t="s">
        <v>201</v>
      </c>
      <c r="L115" s="3" t="s">
        <v>202</v>
      </c>
      <c r="M115" s="3" t="s">
        <v>203</v>
      </c>
      <c r="N115" s="3" t="s">
        <v>204</v>
      </c>
      <c r="O115" s="3" t="s">
        <v>203</v>
      </c>
      <c r="P115" s="3" t="s">
        <v>205</v>
      </c>
      <c r="Q115" s="6">
        <v>45715</v>
      </c>
      <c r="R115" s="3" t="s">
        <v>213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5">
      <c r="A116" s="3">
        <v>115</v>
      </c>
      <c r="B116" s="3" t="s">
        <v>140</v>
      </c>
      <c r="C116" s="3" t="s">
        <v>196</v>
      </c>
      <c r="D116" s="3" t="s">
        <v>287</v>
      </c>
      <c r="E116" s="3" t="s">
        <v>291</v>
      </c>
      <c r="F116" s="3" t="s">
        <v>198</v>
      </c>
      <c r="G116" s="6">
        <v>45909</v>
      </c>
      <c r="H116" s="6">
        <v>45916</v>
      </c>
      <c r="I116" s="3" t="s">
        <v>413</v>
      </c>
      <c r="J116" s="3" t="s">
        <v>208</v>
      </c>
      <c r="K116" s="3" t="s">
        <v>201</v>
      </c>
      <c r="L116" s="3" t="s">
        <v>202</v>
      </c>
      <c r="M116" s="3" t="s">
        <v>203</v>
      </c>
      <c r="N116" s="3" t="s">
        <v>204</v>
      </c>
      <c r="O116" s="3" t="s">
        <v>203</v>
      </c>
      <c r="P116" s="3" t="s">
        <v>205</v>
      </c>
      <c r="Q116" s="6">
        <v>45693</v>
      </c>
      <c r="R116" s="3" t="s">
        <v>213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5">
      <c r="A117" s="3">
        <v>116</v>
      </c>
      <c r="B117" s="3" t="s">
        <v>141</v>
      </c>
      <c r="C117" s="3" t="s">
        <v>196</v>
      </c>
      <c r="D117" s="3" t="s">
        <v>287</v>
      </c>
      <c r="E117" s="3" t="s">
        <v>291</v>
      </c>
      <c r="F117" s="3" t="s">
        <v>198</v>
      </c>
      <c r="G117" s="6">
        <v>45937</v>
      </c>
      <c r="H117" s="6">
        <v>45944</v>
      </c>
      <c r="I117" s="3" t="s">
        <v>414</v>
      </c>
      <c r="J117" s="3" t="s">
        <v>210</v>
      </c>
      <c r="K117" s="3" t="s">
        <v>201</v>
      </c>
      <c r="L117" s="3" t="s">
        <v>202</v>
      </c>
      <c r="M117" s="3" t="s">
        <v>203</v>
      </c>
      <c r="N117" s="3" t="s">
        <v>204</v>
      </c>
      <c r="O117" s="3" t="s">
        <v>203</v>
      </c>
      <c r="P117" s="3" t="s">
        <v>205</v>
      </c>
      <c r="Q117" s="6">
        <v>45693</v>
      </c>
      <c r="R117" s="3" t="s">
        <v>213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5">
      <c r="A118" s="3">
        <v>117</v>
      </c>
      <c r="B118" s="3" t="s">
        <v>142</v>
      </c>
      <c r="C118" s="3" t="s">
        <v>196</v>
      </c>
      <c r="D118" s="3" t="s">
        <v>287</v>
      </c>
      <c r="E118" s="3" t="s">
        <v>291</v>
      </c>
      <c r="F118" s="3" t="s">
        <v>198</v>
      </c>
      <c r="G118" s="6">
        <v>45965</v>
      </c>
      <c r="H118" s="6">
        <v>45972</v>
      </c>
      <c r="I118" s="3" t="s">
        <v>415</v>
      </c>
      <c r="J118" s="3" t="s">
        <v>189</v>
      </c>
      <c r="K118" s="3" t="s">
        <v>201</v>
      </c>
      <c r="L118" s="3" t="s">
        <v>202</v>
      </c>
      <c r="M118" s="3" t="s">
        <v>203</v>
      </c>
      <c r="N118" s="3" t="s">
        <v>204</v>
      </c>
      <c r="O118" s="3" t="s">
        <v>203</v>
      </c>
      <c r="P118" s="3" t="s">
        <v>205</v>
      </c>
      <c r="Q118" s="6">
        <v>45741</v>
      </c>
      <c r="R118" s="3" t="s">
        <v>213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5">
      <c r="A119" s="3">
        <v>118</v>
      </c>
      <c r="B119" s="3" t="s">
        <v>143</v>
      </c>
      <c r="C119" s="3" t="s">
        <v>196</v>
      </c>
      <c r="D119" s="3" t="s">
        <v>197</v>
      </c>
      <c r="E119" s="3" t="s">
        <v>186</v>
      </c>
      <c r="F119" s="3" t="s">
        <v>198</v>
      </c>
      <c r="G119" s="6">
        <v>45993</v>
      </c>
      <c r="H119" s="6">
        <v>46000</v>
      </c>
      <c r="I119" s="3" t="s">
        <v>416</v>
      </c>
      <c r="J119" s="3" t="s">
        <v>200</v>
      </c>
      <c r="K119" s="3" t="s">
        <v>201</v>
      </c>
      <c r="L119" s="3" t="s">
        <v>202</v>
      </c>
      <c r="M119" s="3" t="s">
        <v>203</v>
      </c>
      <c r="N119" s="3" t="s">
        <v>204</v>
      </c>
      <c r="O119" s="3" t="s">
        <v>203</v>
      </c>
      <c r="P119" s="3" t="s">
        <v>205</v>
      </c>
      <c r="Q119" s="6">
        <v>45763</v>
      </c>
      <c r="R119" s="3" t="s">
        <v>213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customHeight="1" x14ac:dyDescent="0.25">
      <c r="A120" s="3">
        <v>119</v>
      </c>
      <c r="B120" s="3" t="s">
        <v>144</v>
      </c>
      <c r="C120" s="3" t="s">
        <v>196</v>
      </c>
      <c r="D120" s="3" t="s">
        <v>197</v>
      </c>
      <c r="E120" s="3" t="s">
        <v>186</v>
      </c>
      <c r="F120" s="3" t="s">
        <v>198</v>
      </c>
      <c r="G120" s="6">
        <v>45757</v>
      </c>
      <c r="H120" s="6">
        <v>45764</v>
      </c>
      <c r="I120" s="3" t="s">
        <v>417</v>
      </c>
      <c r="J120" s="3" t="s">
        <v>208</v>
      </c>
      <c r="K120" s="3" t="s">
        <v>201</v>
      </c>
      <c r="L120" s="3" t="s">
        <v>202</v>
      </c>
      <c r="M120" s="3" t="s">
        <v>203</v>
      </c>
      <c r="N120" s="3" t="s">
        <v>204</v>
      </c>
      <c r="O120" s="3" t="s">
        <v>203</v>
      </c>
      <c r="P120" s="3" t="s">
        <v>205</v>
      </c>
      <c r="Q120" s="6">
        <v>45761</v>
      </c>
      <c r="R120" s="3" t="s">
        <v>213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" customHeight="1" x14ac:dyDescent="0.25">
      <c r="A121" s="3">
        <v>120</v>
      </c>
      <c r="B121" s="3" t="s">
        <v>145</v>
      </c>
      <c r="C121" s="3" t="s">
        <v>196</v>
      </c>
      <c r="D121" s="3" t="s">
        <v>197</v>
      </c>
      <c r="E121" s="3" t="s">
        <v>186</v>
      </c>
      <c r="F121" s="3" t="s">
        <v>198</v>
      </c>
      <c r="G121" s="6">
        <v>45792</v>
      </c>
      <c r="H121" s="6">
        <v>45799</v>
      </c>
      <c r="I121" s="3" t="s">
        <v>418</v>
      </c>
      <c r="J121" s="3" t="s">
        <v>210</v>
      </c>
      <c r="K121" s="3" t="s">
        <v>201</v>
      </c>
      <c r="L121" s="3" t="s">
        <v>202</v>
      </c>
      <c r="M121" s="3" t="s">
        <v>203</v>
      </c>
      <c r="N121" s="3" t="s">
        <v>204</v>
      </c>
      <c r="O121" s="3" t="s">
        <v>203</v>
      </c>
      <c r="P121" s="3" t="s">
        <v>205</v>
      </c>
      <c r="Q121" s="6">
        <v>45736</v>
      </c>
      <c r="R121" s="3" t="s">
        <v>213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" customHeight="1" x14ac:dyDescent="0.25">
      <c r="A122" s="3">
        <v>121</v>
      </c>
      <c r="B122" s="3" t="s">
        <v>146</v>
      </c>
      <c r="C122" s="3" t="s">
        <v>196</v>
      </c>
      <c r="D122" s="3" t="s">
        <v>419</v>
      </c>
      <c r="E122" s="3" t="s">
        <v>420</v>
      </c>
      <c r="F122" s="3" t="s">
        <v>223</v>
      </c>
      <c r="G122" s="6">
        <v>45860</v>
      </c>
      <c r="H122" s="6">
        <v>45867</v>
      </c>
      <c r="I122" s="3" t="s">
        <v>421</v>
      </c>
      <c r="J122" s="3" t="s">
        <v>189</v>
      </c>
      <c r="K122" s="3" t="s">
        <v>201</v>
      </c>
      <c r="L122" s="3" t="s">
        <v>202</v>
      </c>
      <c r="M122" s="3" t="s">
        <v>203</v>
      </c>
      <c r="N122" s="3" t="s">
        <v>204</v>
      </c>
      <c r="O122" s="3" t="s">
        <v>203</v>
      </c>
      <c r="P122" s="3" t="s">
        <v>205</v>
      </c>
      <c r="Q122" s="6">
        <v>45776</v>
      </c>
      <c r="R122" s="3" t="s">
        <v>235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50"/>
  <sheetViews>
    <sheetView workbookViewId="0"/>
  </sheetViews>
  <sheetFormatPr defaultRowHeight="15" x14ac:dyDescent="0.25"/>
  <cols>
    <col min="1" max="1" width="22.7109375" customWidth="1"/>
    <col min="2" max="2" width="20.7109375" customWidth="1"/>
    <col min="3" max="3" width="8.140625" customWidth="1"/>
    <col min="4" max="4" width="17.140625" customWidth="1"/>
    <col min="5" max="5" width="18" customWidth="1"/>
    <col min="6" max="6" width="18.140625" customWidth="1"/>
    <col min="7" max="7" width="17.140625" customWidth="1"/>
  </cols>
  <sheetData>
    <row r="1" spans="1:30" ht="15" customHeight="1" x14ac:dyDescent="0.25">
      <c r="A1" s="2" t="s">
        <v>148</v>
      </c>
      <c r="B1" s="2" t="s">
        <v>422</v>
      </c>
      <c r="C1" s="2" t="s">
        <v>423</v>
      </c>
      <c r="D1" s="2" t="s">
        <v>424</v>
      </c>
      <c r="E1" s="2" t="s">
        <v>425</v>
      </c>
      <c r="F1" s="2" t="s">
        <v>426</v>
      </c>
      <c r="G1" s="2" t="s">
        <v>427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 customHeight="1" x14ac:dyDescent="0.25">
      <c r="A2" s="3">
        <v>2019</v>
      </c>
      <c r="B2" s="3">
        <v>11</v>
      </c>
      <c r="C2" s="3" t="s">
        <v>428</v>
      </c>
      <c r="D2" s="3" t="s">
        <v>428</v>
      </c>
      <c r="E2" s="3" t="s">
        <v>429</v>
      </c>
      <c r="F2" s="3" t="s">
        <v>429</v>
      </c>
      <c r="G2" s="3" t="s">
        <v>429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s="3">
        <v>2020</v>
      </c>
      <c r="B3" s="3">
        <v>17</v>
      </c>
      <c r="C3" s="3" t="s">
        <v>428</v>
      </c>
      <c r="D3" s="3" t="s">
        <v>428</v>
      </c>
      <c r="E3" s="3" t="s">
        <v>429</v>
      </c>
      <c r="F3" s="3" t="s">
        <v>429</v>
      </c>
      <c r="G3" s="3" t="s">
        <v>429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s="3">
        <v>2021</v>
      </c>
      <c r="B4" s="3">
        <v>6</v>
      </c>
      <c r="C4" s="3" t="s">
        <v>428</v>
      </c>
      <c r="D4" s="3" t="s">
        <v>428</v>
      </c>
      <c r="E4" s="3" t="s">
        <v>429</v>
      </c>
      <c r="F4" s="3" t="s">
        <v>429</v>
      </c>
      <c r="G4" s="3" t="s">
        <v>429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">
        <v>2022</v>
      </c>
      <c r="B5" s="3">
        <v>13</v>
      </c>
      <c r="C5" s="3" t="s">
        <v>428</v>
      </c>
      <c r="D5" s="3" t="s">
        <v>428</v>
      </c>
      <c r="E5" s="3" t="s">
        <v>429</v>
      </c>
      <c r="F5" s="3" t="s">
        <v>429</v>
      </c>
      <c r="G5" s="3" t="s">
        <v>429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" customHeight="1" x14ac:dyDescent="0.25">
      <c r="A6" s="3">
        <v>2023</v>
      </c>
      <c r="B6" s="3">
        <v>23</v>
      </c>
      <c r="C6" s="3" t="s">
        <v>428</v>
      </c>
      <c r="D6" s="3" t="s">
        <v>428</v>
      </c>
      <c r="E6" s="3" t="s">
        <v>429</v>
      </c>
      <c r="F6" s="3" t="s">
        <v>429</v>
      </c>
      <c r="G6" s="3" t="s">
        <v>429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" customHeight="1" x14ac:dyDescent="0.25">
      <c r="A7" s="3">
        <v>2024</v>
      </c>
      <c r="B7" s="3">
        <v>35</v>
      </c>
      <c r="C7" s="3" t="s">
        <v>428</v>
      </c>
      <c r="D7" s="3" t="s">
        <v>428</v>
      </c>
      <c r="E7" s="3" t="s">
        <v>429</v>
      </c>
      <c r="F7" s="3" t="s">
        <v>429</v>
      </c>
      <c r="G7" s="3" t="s">
        <v>429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 customHeight="1" x14ac:dyDescent="0.25">
      <c r="A8" s="3">
        <v>2025</v>
      </c>
      <c r="B8" s="3">
        <v>16</v>
      </c>
      <c r="C8" s="3" t="s">
        <v>428</v>
      </c>
      <c r="D8" s="3" t="s">
        <v>428</v>
      </c>
      <c r="E8" s="3" t="s">
        <v>429</v>
      </c>
      <c r="F8" s="3" t="s">
        <v>429</v>
      </c>
      <c r="G8" s="3" t="s">
        <v>429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" customHeight="1" x14ac:dyDescent="0.25">
      <c r="A9" s="3" t="s">
        <v>430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50"/>
  <sheetViews>
    <sheetView workbookViewId="0"/>
  </sheetViews>
  <sheetFormatPr defaultRowHeight="15" x14ac:dyDescent="0.25"/>
  <cols>
    <col min="1" max="1" width="21.42578125" customWidth="1"/>
    <col min="2" max="2" width="10.28515625" customWidth="1"/>
  </cols>
  <sheetData>
    <row r="1" spans="1:30" ht="15" customHeight="1" x14ac:dyDescent="0.25">
      <c r="A1" s="2" t="s">
        <v>431</v>
      </c>
      <c r="B1" s="2" t="s">
        <v>432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 customHeight="1" x14ac:dyDescent="0.25">
      <c r="A2" s="3">
        <v>0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s="3">
        <v>0.1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s="3">
        <v>0.2</v>
      </c>
      <c r="B4" s="3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">
        <v>0.3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" customHeight="1" x14ac:dyDescent="0.25">
      <c r="A6" s="3">
        <v>0.4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" customHeight="1" x14ac:dyDescent="0.25">
      <c r="A7" s="3">
        <v>0.5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 customHeight="1" x14ac:dyDescent="0.25">
      <c r="A8" s="3">
        <v>0.6</v>
      </c>
      <c r="B8" s="3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" customHeight="1" x14ac:dyDescent="0.25">
      <c r="A9" s="3">
        <v>0.7</v>
      </c>
      <c r="B9" s="3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 x14ac:dyDescent="0.25">
      <c r="A10" s="3">
        <v>0.8</v>
      </c>
      <c r="B10" s="3"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" customHeight="1" x14ac:dyDescent="0.25">
      <c r="A11" s="3">
        <v>0.9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" customHeight="1" x14ac:dyDescent="0.25">
      <c r="A12" s="3">
        <v>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" customHeight="1" x14ac:dyDescent="0.25">
      <c r="A14" s="3" t="s">
        <v>433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Model Inventory</vt:lpstr>
      <vt:lpstr>Audit Data</vt:lpstr>
      <vt:lpstr>Audit Log</vt:lpstr>
      <vt:lpstr>Chart Data</vt:lpstr>
      <vt:lpstr>Distribution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Ranjan Sapkota</cp:lastModifiedBy>
  <dcterms:modified xsi:type="dcterms:W3CDTF">2026-10-05T01:46:53Z</dcterms:modified>
</cp:coreProperties>
</file>